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埋点数据" sheetId="1" r:id="rId5"/>
    <sheet state="visible" name="意图分析" sheetId="2" r:id="rId6"/>
    <sheet state="visible" name="每日统计" sheetId="3" r:id="rId7"/>
    <sheet state="visible" name="监控看板" sheetId="4" r:id="rId8"/>
  </sheets>
  <definedNames/>
  <calcPr/>
</workbook>
</file>

<file path=xl/sharedStrings.xml><?xml version="1.0" encoding="utf-8"?>
<sst xmlns="http://schemas.openxmlformats.org/spreadsheetml/2006/main" count="2504" uniqueCount="604">
  <si>
    <t>时间</t>
  </si>
  <si>
    <t>event_type</t>
  </si>
  <si>
    <t>query</t>
  </si>
  <si>
    <t>desensitized_query</t>
  </si>
  <si>
    <t>intent</t>
  </si>
  <si>
    <t>confidence</t>
  </si>
  <si>
    <t>reason</t>
  </si>
  <si>
    <t>risk_type</t>
  </si>
  <si>
    <t>risk_reason</t>
  </si>
  <si>
    <t>conversation_id</t>
  </si>
  <si>
    <t>dialogue_count</t>
  </si>
  <si>
    <t>payload_json</t>
  </si>
  <si>
    <t>transfer_json</t>
  </si>
  <si>
    <t>badcase_json</t>
  </si>
  <si>
    <t>intent_classify</t>
  </si>
  <si>
    <t>T恤是什么材质的？</t>
  </si>
  <si>
    <t>售前咨询</t>
  </si>
  <si>
    <t>询问商品材质，属于购买前常见问题</t>
  </si>
  <si>
    <t>无</t>
  </si>
  <si>
    <t>正常咨询</t>
  </si>
  <si>
    <t>fcf8d425-6db6-405e-baaf-2cf3735b295f</t>
  </si>
  <si>
    <t>{"event": "knowledge_search</t>
  </si>
  <si>
    <t>{"event": "answer_generate</t>
  </si>
  <si>
    <t>这件T恤是什么材质的</t>
  </si>
  <si>
    <t>询问商品材质，属于购买前的问题</t>
  </si>
  <si>
    <t>正常问题</t>
  </si>
  <si>
    <t>03255551-0fe4-4a96-9c25-cb0d8c6fe99a</t>
  </si>
  <si>
    <t>有优惠吗</t>
  </si>
  <si>
    <t>询问优惠信息</t>
  </si>
  <si>
    <t>165c548a-134a-4eb4-aa72-79f78ecb4afa</t>
  </si>
  <si>
    <t>我身高170体重120穿什么码</t>
  </si>
  <si>
    <t>询问适合的尺码，属于购买前商品信息咨询</t>
  </si>
  <si>
    <t>正常尺码咨询</t>
  </si>
  <si>
    <t>f9f44473-d48a-4947-ae2e-e7e3b6e3284d</t>
  </si>
  <si>
    <t>白色会不会透</t>
  </si>
  <si>
    <t>询问商品颜色特性（白色是否透明），属于购买前商品信息咨询</t>
  </si>
  <si>
    <t>正常问答</t>
  </si>
  <si>
    <t>cdcdfe0a-64fe-429c-995e-26eaef612110</t>
  </si>
  <si>
    <t>询问商品材质</t>
  </si>
  <si>
    <t>正常询问</t>
  </si>
  <si>
    <t>ba0ac03b-9bf0-4124-ac26-37baf13bb6c5</t>
  </si>
  <si>
    <t>牛仔裤有弹力吗</t>
  </si>
  <si>
    <t>询问商品功能（弹力）</t>
  </si>
  <si>
    <t>正常商品咨询</t>
  </si>
  <si>
    <t>5052743c-2e87-4667-b72c-bbd977dbf746</t>
  </si>
  <si>
    <t>询问商品优惠信息</t>
  </si>
  <si>
    <t>正常询问优惠</t>
  </si>
  <si>
    <t>b0d3165b-8ba0-49ea-b4e0-afe42de8c241</t>
  </si>
  <si>
    <t>这个和那个有什么区别</t>
  </si>
  <si>
    <t>询问商品区别，属购买前信息咨询</t>
  </si>
  <si>
    <t>普通询问差异</t>
  </si>
  <si>
    <t>5202b348-397c-49f7-929c-aaf5001769c5</t>
  </si>
  <si>
    <t>现在下单什么时候能到</t>
  </si>
  <si>
    <t>询问下单后的到货时间，属于购买前物流时效咨询</t>
  </si>
  <si>
    <t>正常咨询物流时间</t>
  </si>
  <si>
    <t>e75c2a8e-3f76-45ca-8189-ab3155a911eb</t>
  </si>
  <si>
    <t>能便宜点吗</t>
  </si>
  <si>
    <t>询问价格优惠，属于购买前咨询</t>
  </si>
  <si>
    <t>正常砍价</t>
  </si>
  <si>
    <t>70b99fe9-1984-4d8c-9b90-8697b0ef08b9</t>
  </si>
  <si>
    <t>羽绒服适合什么温度穿</t>
  </si>
  <si>
    <t>询问商品使用场景</t>
  </si>
  <si>
    <t>e1272178-b1d8-40fb-93c3-30fe51a542f9</t>
  </si>
  <si>
    <t>询问商品材质，属于购买前商品信息咨询</t>
  </si>
  <si>
    <t>029553eb-c3d6-4329-a135-a7d6b342e76c</t>
  </si>
  <si>
    <t>支持花呗吗</t>
  </si>
  <si>
    <t>询问支付方式，属于购买前常见问题</t>
  </si>
  <si>
    <t>普通询问，无风险</t>
  </si>
  <si>
    <t>c209ef1e-8ddd-4a8c-865b-b77f61328a54</t>
  </si>
  <si>
    <t>询问优惠，属于购买前的信息咨询</t>
  </si>
  <si>
    <t>d76385e1-ff08-401d-99e0-fa56854b0356</t>
  </si>
  <si>
    <t>有没有其他颜色</t>
  </si>
  <si>
    <t>询问商品颜色</t>
  </si>
  <si>
    <t>无用户输入</t>
  </si>
  <si>
    <t>710f4788-f7a4-4d2a-9d96-280799501d98</t>
  </si>
  <si>
    <t>询问身高体重对应尺码，属于购买前的商品信息咨询</t>
  </si>
  <si>
    <t>正常尺寸咨询</t>
  </si>
  <si>
    <t>6d3cca7a-da47-4c4c-bfcd-11b18f1fb159</t>
  </si>
  <si>
    <t>这个洗了会缩水吗</t>
  </si>
  <si>
    <t>询问商品洗涤后是否缩水，属于购买前商品信息咨询</t>
  </si>
  <si>
    <t>正常产品咨询</t>
  </si>
  <si>
    <t>75929c8d-12ab-4575-bb8f-5a1f8d5cb6c2</t>
  </si>
  <si>
    <t>询问商品颜色属性</t>
  </si>
  <si>
    <t>普通产品咨询</t>
  </si>
  <si>
    <t>19138ae0-fc0d-4816-96c8-5c8d9aa40c9c</t>
  </si>
  <si>
    <t>询问商品材质特性</t>
  </si>
  <si>
    <t>b05e8af7-c6a1-4d6c-87ef-d79d69b6608d</t>
  </si>
  <si>
    <t>发什么快递</t>
  </si>
  <si>
    <t>用户询问发货快递，属于购买前常见询问配送方式的售前问题</t>
  </si>
  <si>
    <t>无风险</t>
  </si>
  <si>
    <t>e7e425ec-7928-44b9-bbc2-16ceee7ad7eb</t>
  </si>
  <si>
    <t>询问商品之间的区别，属于购买前了解商品信息的售前咨询</t>
  </si>
  <si>
    <t>正常提问</t>
  </si>
  <si>
    <t>cc4d8a07-5ee7-4072-a34e-7f2503eca20a</t>
  </si>
  <si>
    <t>能开发票吗</t>
  </si>
  <si>
    <t>询问是否支持开发票，属于购买前常见商品服务咨询</t>
  </si>
  <si>
    <t>正常查询</t>
  </si>
  <si>
    <t>03874c5b-2928-4e62-aa9e-546b4cf3ee65</t>
  </si>
  <si>
    <t>询问下单后的配送时间，属于购买前常规咨询</t>
  </si>
  <si>
    <t>正常咨询物流时效</t>
  </si>
  <si>
    <t>2001539f-eddd-441e-a823-e7ec89f48c32</t>
  </si>
  <si>
    <t>双十一有活动吗</t>
  </si>
  <si>
    <t>询问双十一促销活动，属于购买前咨询</t>
  </si>
  <si>
    <t>294c12e2-6bc9-41b1-8486-45e510782b26</t>
  </si>
  <si>
    <t>牛仔裤会掉色吗</t>
  </si>
  <si>
    <t>询问商品特性，无负面情绪</t>
  </si>
  <si>
    <t>0823dde7-b6af-45ba-a412-a228784b2173</t>
  </si>
  <si>
    <t>询问价格优惠，属于购买前的价格协商问题</t>
  </si>
  <si>
    <t>正常询问，无风险</t>
  </si>
  <si>
    <t>8cd6ddf1-b541-492f-8479-a49932741774</t>
  </si>
  <si>
    <t>小个子穿会太长吗</t>
  </si>
  <si>
    <t>询问商品尺码长度是否适合特定身高</t>
  </si>
  <si>
    <t>正常询问尺寸</t>
  </si>
  <si>
    <t>d3bd6950-d77f-4ff0-8c13-8f188e53b749</t>
  </si>
  <si>
    <t>询问羽绒服的适用温度，属于售前商品功能咨询</t>
  </si>
  <si>
    <t>正常服装咨询</t>
  </si>
  <si>
    <t>7612088b-e408-4a79-ad3c-32451e8c0c79</t>
  </si>
  <si>
    <t>羽绒服能机洗吗</t>
  </si>
  <si>
    <t>询问羽绒服机洗可行性，属商品使用咨询</t>
  </si>
  <si>
    <t>9f899879-4a8f-4af6-bf09-09e01c77ede9</t>
  </si>
  <si>
    <t>询问支付方式</t>
  </si>
  <si>
    <t>正常咨询支付方式</t>
  </si>
  <si>
    <t>1324af01-c4a1-44f6-b729-0aaa7743a8a1</t>
  </si>
  <si>
    <t>有没有套装</t>
  </si>
  <si>
    <t>询问是否有套装商品，属于购买前的商品咨询</t>
  </si>
  <si>
    <t>输入为空</t>
  </si>
  <si>
    <t>4a99c022-33fe-4dd3-a4f6-285dc273af01</t>
  </si>
  <si>
    <t>询问商品颜色选项</t>
  </si>
  <si>
    <t>c18ff240-72c9-457a-9e02-08fa272863ed</t>
  </si>
  <si>
    <t>这是正品吗</t>
  </si>
  <si>
    <t>用户询问商品是否为正品，属于购买前的商品信息咨询</t>
  </si>
  <si>
    <t>2f41d665-8fe6-4e6a-b7df-2a01edd03933</t>
  </si>
  <si>
    <t>询问商品洗涤后是否会缩水，属于购买前了解商品属性</t>
  </si>
  <si>
    <t>aa9e9b3b-4674-4370-989d-90f522dbd172</t>
  </si>
  <si>
    <t>我的订单发货了吗</t>
  </si>
  <si>
    <t>订单查询</t>
  </si>
  <si>
    <t>用户询问订单发货状态，属于订单查询</t>
  </si>
  <si>
    <t>正常订单查询</t>
  </si>
  <si>
    <t>c95346ed-d2e7-4d07-9cde-8daf8a660d5f</t>
  </si>
  <si>
    <t>询问物流方式，属于商品售卖前了解物流相关信息</t>
  </si>
  <si>
    <t>bf93fd61-4998-49ab-aa87-dbba48ec312b</t>
  </si>
  <si>
    <t>快递到哪了</t>
  </si>
  <si>
    <t>询问快递进度，属于物流查询</t>
  </si>
  <si>
    <t>e2ce2835-d05e-4bbb-93ae-043161f33845</t>
  </si>
  <si>
    <t>询问是否支持开发票，属于购买前的商品服务咨询</t>
  </si>
  <si>
    <t>f370eb7c-d3c9-41c2-9f0a-4407784dab67</t>
  </si>
  <si>
    <t>能改一下收货地址吗</t>
  </si>
  <si>
    <t>询问修改收货地址，属于订单操作相关</t>
  </si>
  <si>
    <t>d9795846-218d-48e7-a7b2-58239388cab1</t>
  </si>
  <si>
    <t>询问双十一促销活动，属于购买前商品优惠信息咨询</t>
  </si>
  <si>
    <t>正常询问活动信息</t>
  </si>
  <si>
    <t>2d089e1b-fc7d-4e2b-b05e-a93d9bf0d2e5</t>
  </si>
  <si>
    <t>我想取消订单</t>
  </si>
  <si>
    <t>用户明确要求取消订单，属于订单相关操作</t>
  </si>
  <si>
    <t>正常订单操作请求</t>
  </si>
  <si>
    <t>c295fd82-556d-4959-a42b-51c12539b224</t>
  </si>
  <si>
    <t>询问牛仔裤是否掉色，是售前商品咨询</t>
  </si>
  <si>
    <t>正常商品询问</t>
  </si>
  <si>
    <t>670a0f1e-b787-4bb1-9235-a63b04697143</t>
  </si>
  <si>
    <t>订单号1387654什么时候发</t>
  </si>
  <si>
    <t>订单号1****</t>
  </si>
  <si>
    <t>用户提供订单号询问发货时间，属于查询订单状态/物流进度</t>
  </si>
  <si>
    <t>正常订单号查询</t>
  </si>
  <si>
    <t>f083893b-496b-4053-bc4b-8c2243db68dc</t>
  </si>
  <si>
    <t>询问商品是否适合小个子，关于尺寸问题</t>
  </si>
  <si>
    <t>82d365e3-99c7-4553-9d22-60846bdd6dbd</t>
  </si>
  <si>
    <t>物流两天没更新了</t>
  </si>
  <si>
    <t>用户关注物流更新状态，属于订单进度查询</t>
  </si>
  <si>
    <t>物流查询</t>
  </si>
  <si>
    <t>522ab5b4-87b6-4f89-bf55-48578d0c167f</t>
  </si>
  <si>
    <t>询问商品清洗方式，属于售前商品信息咨询</t>
  </si>
  <si>
    <t>2918c5de-5c76-449d-80c9-70ece42390b7</t>
  </si>
  <si>
    <t>能帮我查一下物流吗</t>
  </si>
  <si>
    <t>请求查询物流进度，符合订单查询场景</t>
  </si>
  <si>
    <t>d845a6ca-fdab-4dd4-8246-5d41ad458d9e</t>
  </si>
  <si>
    <t>询问是否有套装商品</t>
  </si>
  <si>
    <t>正常投诉，用词不文明但非恶意攻击</t>
  </si>
  <si>
    <t>d3f74f74-7d53-45d8-a570-bc0f29002dfe</t>
  </si>
  <si>
    <t>已经三天了还没发货</t>
  </si>
  <si>
    <t>用户在询问发货状态，属于订单查询</t>
  </si>
  <si>
    <t>正常投诉无风险</t>
  </si>
  <si>
    <t>4fdf8840-6350-4ec9-90c9-6266b5aa088f</t>
  </si>
  <si>
    <t>询问商品是否为正品，属于购买前商品信息咨询</t>
  </si>
  <si>
    <t>dd626b86-764a-4c2e-a1a9-80b97774e8be</t>
  </si>
  <si>
    <t>我买了两件只发了一件</t>
  </si>
  <si>
    <t>用户反映购买数量与实收数量不符，属于订单发货问题查询</t>
  </si>
  <si>
    <t>正常投诉</t>
  </si>
  <si>
    <t>5849a0cc-14af-4814-b1ad-9e6265c6d93c</t>
  </si>
  <si>
    <t>询问订单发货状态</t>
  </si>
  <si>
    <t>a180acdc-be98-40c0-b0bb-895547dc84eb</t>
  </si>
  <si>
    <t>能不能换成顺丰</t>
  </si>
  <si>
    <t>询问物流方式</t>
  </si>
  <si>
    <t>7239cc1e-2d85-46bd-b12b-4ed4d74cdc2c</t>
  </si>
  <si>
    <t>询问修改收货地址，属于订单管理操作</t>
  </si>
  <si>
    <t>正常更改收货地址请求</t>
  </si>
  <si>
    <t>0a66a9ba-27ab-4608-80ad-1d9a7de12e44</t>
  </si>
  <si>
    <t>快递显示签收但我没收到</t>
  </si>
  <si>
    <t>查询物流状态，未收到货但显示签收</t>
  </si>
  <si>
    <t>de342b3e-0850-4456-af8e-178274b2dda4</t>
  </si>
  <si>
    <t>用户明确表达取消订单的意图，属于订单状态管理</t>
  </si>
  <si>
    <t>正常取消订单请求</t>
  </si>
  <si>
    <t>daa7a45c-25a7-448b-a262-f6821b223bdd</t>
  </si>
  <si>
    <t>询问订单发货时间，属于订单状态查询</t>
  </si>
  <si>
    <t>无输入内容</t>
  </si>
  <si>
    <t>97986814-51f0-41dc-8bd3-ca8d39a23f14</t>
  </si>
  <si>
    <t>帮我催一下发货</t>
  </si>
  <si>
    <t>用户请求催促发货，涉及订单物流进度查询</t>
  </si>
  <si>
    <t>正常催发货请求</t>
  </si>
  <si>
    <t>c0c24df0-fefb-4eef-9991-e3b7eb3b0a16</t>
  </si>
  <si>
    <t>询问物流进度，属于查询订单状态</t>
  </si>
  <si>
    <t>正常物流查询</t>
  </si>
  <si>
    <t>204b2ebd-54df-4b23-9ccb-b05a389f1d65</t>
  </si>
  <si>
    <t>下单时忘记用优惠券了</t>
  </si>
  <si>
    <t>其他</t>
  </si>
  <si>
    <t>用户反馈下单时忘记使用优惠券，属于订单相关售后咨询，但不属于明确的订单查询、退换货或投诉，归入其他类别</t>
  </si>
  <si>
    <t>73f00906-2169-40d7-8303-b8875b0637d5</t>
  </si>
  <si>
    <t>用户请求查询物流信息</t>
  </si>
  <si>
    <t>f01af295-a745-4b3a-a068-73c0511d0d2d</t>
  </si>
  <si>
    <t>收货电话写错了怎么办</t>
  </si>
  <si>
    <t>用户询问修改收货电话的方法，属于订单修改类问题</t>
  </si>
  <si>
    <t>f70ddab1-2796-4d87-978e-2a84a3e6bcfb</t>
  </si>
  <si>
    <t>用户抱怨发货慢，属于查询订单状态/发货进度</t>
  </si>
  <si>
    <t>正常投诉，无风险内容</t>
  </si>
  <si>
    <t>6b0c5399-8bf6-40a2-ad8d-7bdc13af66a6</t>
  </si>
  <si>
    <t>什么时候发货啊着急用</t>
  </si>
  <si>
    <t>询问发货时间，表明已下单，属订单物流进度查询</t>
  </si>
  <si>
    <t>正常询问发货时间</t>
  </si>
  <si>
    <t>ebe43e2d-a232-4c10-b574-b7d856126044</t>
  </si>
  <si>
    <t>用户反馈发货数量不符，属于订单问题询问</t>
  </si>
  <si>
    <t>正常订单投诉</t>
  </si>
  <si>
    <t>6dec3f9e-1a3d-420b-8626-a31a199ea279</t>
  </si>
  <si>
    <t>用户反映物流状态异常，属于订单物流查询</t>
  </si>
  <si>
    <t>6a420c33-d1e0-452b-9be8-15b05e525017</t>
  </si>
  <si>
    <t>买大了能换小一码吗</t>
  </si>
  <si>
    <t>退换货</t>
  </si>
  <si>
    <t>用户询问因尺寸不合适能否更换小一码，明确涉及换货需求</t>
  </si>
  <si>
    <t>b7c89080-e3e7-401d-b378-0949d0d50a41</t>
  </si>
  <si>
    <t>要求催促发货，属于订单物流相关</t>
  </si>
  <si>
    <t>9f8ddff8-0823-45ef-8774-faede8a01dc7</t>
  </si>
  <si>
    <t>退货邮费谁出</t>
  </si>
  <si>
    <t>询问退货邮费承担方，属于退换货流程问题</t>
  </si>
  <si>
    <t>96ed560c-6db6-4879-8b10-de98fa8ebb62</t>
  </si>
  <si>
    <t>超过7天还能退吗</t>
  </si>
  <si>
    <t>询问超过7天是否能退货，涉及退换货规则咨询</t>
  </si>
  <si>
    <t>正常退款咨询</t>
  </si>
  <si>
    <t>baffc972-71eb-4d11-a614-4cc8bff55c0d</t>
  </si>
  <si>
    <t>用户已下单，希望使用优惠券，涉及订单修改或补偿咨询</t>
  </si>
  <si>
    <t>7738cb64-8d2e-4f6a-a86a-7f04c4de5007</t>
  </si>
  <si>
    <t>换货要多久</t>
  </si>
  <si>
    <t>询问换货所需时间，属于退换货流程咨询</t>
  </si>
  <si>
    <t>正常换货咨询</t>
  </si>
  <si>
    <t>b91a81ad-8eb9-4779-9af0-0e4f366257ac</t>
  </si>
  <si>
    <t>吊牌剪了还能退吗</t>
  </si>
  <si>
    <t>询问剪掉吊牌后能否退货，属于退换货流程问题</t>
  </si>
  <si>
    <t>正常退货咨询</t>
  </si>
  <si>
    <t>3fc77c3c-d48d-47b4-a3e4-0149d02d0954</t>
  </si>
  <si>
    <t>用户询问如何修改收货电话，属于订单信息修改</t>
  </si>
  <si>
    <t>b14582ce-a4b5-4363-89ae-f750432326a2</t>
  </si>
  <si>
    <t>退货地址是什么</t>
  </si>
  <si>
    <t>用户询问退货地址，属于退换货流程咨询</t>
  </si>
  <si>
    <t>388e824a-78c4-416b-b310-d8a8dc8eefd1</t>
  </si>
  <si>
    <t>收到的是坏的</t>
  </si>
  <si>
    <t>投诉</t>
  </si>
  <si>
    <t>用户表达对收到商品的负面评价，可能涉及质量问题，属于投诉范畴</t>
  </si>
  <si>
    <t>正常陈述</t>
  </si>
  <si>
    <t>9156f70d-119b-4886-8ae1-0f34b1bac36f</t>
  </si>
  <si>
    <t>询问发货时间，属于订单物流查询</t>
  </si>
  <si>
    <t>b5f741ea-45cd-4a65-9e04-42fa5d2d6c9b</t>
  </si>
  <si>
    <t>颜色和图片差太多了</t>
  </si>
  <si>
    <t>用户表达了对商品颜色与图片差异大的不满，属于投诉类负面反馈</t>
  </si>
  <si>
    <t>94e4de84-7488-41c7-a06c-3e102fef2b12</t>
  </si>
  <si>
    <t>想换个大一码的</t>
  </si>
  <si>
    <t>用户明确表达更换尺码的意愿</t>
  </si>
  <si>
    <t>正常换货请求</t>
  </si>
  <si>
    <t>fc18911e-3dce-45de-bb13-738a4a1dc158</t>
  </si>
  <si>
    <t>我要退货</t>
  </si>
  <si>
    <t>明确要求退货</t>
  </si>
  <si>
    <t>正常退货请求</t>
  </si>
  <si>
    <t>c4092523-b574-40bd-8a7c-045772867ab9</t>
  </si>
  <si>
    <t>退款能退到支付宝吗</t>
  </si>
  <si>
    <t>询问退款到账方式，属于退换货流程咨询</t>
  </si>
  <si>
    <t>26c0ba4e-d8a8-444e-bfc5-d0365394b102</t>
  </si>
  <si>
    <t>衣服质量有问题想退</t>
  </si>
  <si>
    <t>用户明确提出因质量问题要退货，符合退换货意图</t>
  </si>
  <si>
    <t>2d3cdba5-7ee2-4a70-a2e6-60ff1938ed77</t>
  </si>
  <si>
    <t>退货流程是什么</t>
  </si>
  <si>
    <t>明确询问退货流程</t>
  </si>
  <si>
    <t>4c8d5099-e571-4432-85af-0f2c141fd991</t>
  </si>
  <si>
    <t>用户明确询问因尺码偏大要求更换小一码，属于退换货范畴</t>
  </si>
  <si>
    <t>正常购物询问</t>
  </si>
  <si>
    <t>f102cb11-e44b-4248-bd7d-5cc15291a1c6</t>
  </si>
  <si>
    <t>内衣能退吗</t>
  </si>
  <si>
    <t>询问内衣是否可以退货，属于退换货流程咨询</t>
  </si>
  <si>
    <t>正常退货询问</t>
  </si>
  <si>
    <t>e65b72d1-7445-41c2-a656-9c137f6ed5de</t>
  </si>
  <si>
    <t>收到的东西和图片不一样</t>
  </si>
  <si>
    <t>用户收到商品与描述不符，明确表达不满</t>
  </si>
  <si>
    <t>18ed4422-7c04-49b5-bca0-a572db84bf93</t>
  </si>
  <si>
    <t>穿了两次就起球了</t>
  </si>
  <si>
    <t>用户对商品质量表示不满，陈述起球问题，虽未明确要求退换但隐含投诉诉求</t>
  </si>
  <si>
    <t>正常商品质量投诉</t>
  </si>
  <si>
    <t>c2847d17-a01a-497a-8ce7-3a81373b53d5</t>
  </si>
  <si>
    <t>用户询问退货费用承担，涉及退货流程</t>
  </si>
  <si>
    <t>895607cc-41e9-4dc2-8ba3-2708eabddcb1</t>
  </si>
  <si>
    <t>退货要包装完整吗</t>
  </si>
  <si>
    <t>询问退货包装要求</t>
  </si>
  <si>
    <t>3a840ffa-0285-4a27-83a6-1bff06045559</t>
  </si>
  <si>
    <t>询问超过7天能否退货，属于退换货流程咨询</t>
  </si>
  <si>
    <t>47983a29-a240-42a9-b537-d51b4c285105</t>
  </si>
  <si>
    <t>能不能只退其中一件</t>
  </si>
  <si>
    <t>询问是否支持部分退货，属于退换货流程咨询</t>
  </si>
  <si>
    <t>44ae7e84-82cd-4729-ac94-6786560fdfe2</t>
  </si>
  <si>
    <t>退款什么时候到账</t>
  </si>
  <si>
    <t>用户询问退款到账时间，属于退换货流程中的问题</t>
  </si>
  <si>
    <t>da72c1c7-0296-4be5-aebe-e31b1d02c9ed</t>
  </si>
  <si>
    <t>换货的运费谁出</t>
  </si>
  <si>
    <t>询问换货运费归属，属于退换货流程咨询</t>
  </si>
  <si>
    <t>977f3c39-767f-4b37-8cc0-98c90c44ec5c</t>
  </si>
  <si>
    <t>询问换货所需时间</t>
  </si>
  <si>
    <t>c2571dac-5eae-471a-847c-ec68ffe97e7e</t>
  </si>
  <si>
    <t>你们客服态度太差了</t>
  </si>
  <si>
    <t>用户明确表达对客服态度的不满</t>
  </si>
  <si>
    <t>37df06e7-d426-42ac-9403-db586db604e1</t>
  </si>
  <si>
    <t>询问吊牌剪掉后的退货条件，属于退换货流程咨询</t>
  </si>
  <si>
    <t>da9af046-4aae-4660-ad29-f3b9367368be</t>
  </si>
  <si>
    <t>我要投诉</t>
  </si>
  <si>
    <t>用户明确表达投诉意图</t>
  </si>
  <si>
    <t>正常投诉意图</t>
  </si>
  <si>
    <t>40e956c8-a030-4ebd-83c8-a0bd9eca9e63</t>
  </si>
  <si>
    <t>用户询问退货地址，属于退换货流程相关问题</t>
  </si>
  <si>
    <t>b37aa802-8386-4f08-950d-e020675154e5</t>
  </si>
  <si>
    <t>这什么破质量我要投诉</t>
  </si>
  <si>
    <t>明确表达对质量的愤怒并直接声称要投诉</t>
  </si>
  <si>
    <t>1a27fe3f-0c4f-4ece-a687-5306c1976386</t>
  </si>
  <si>
    <t>再不处理我就打12315了</t>
  </si>
  <si>
    <t>用户威胁拨打12315，表示强烈不满和要求处理，属于投诉行为</t>
  </si>
  <si>
    <t>50eb964f-e8ac-44d6-89af-495fa1125c9b</t>
  </si>
  <si>
    <t>表达对颜色的失望，但未明确要求退换货/投诉</t>
  </si>
  <si>
    <t>d0d4318b-b9f1-4ce2-aee4-a20d48effd30</t>
  </si>
  <si>
    <t>虚假宣传欺骗消费者</t>
  </si>
  <si>
    <t>用户明确指责虚假宣传欺骗消费者，表达强烈不满</t>
  </si>
  <si>
    <t>25b8ab12-df2a-4366-8585-2e60d235f2f0</t>
  </si>
  <si>
    <t>明确表达换货需求，要求更换尺码</t>
  </si>
  <si>
    <t>正常咨询，无风险内容</t>
  </si>
  <si>
    <t>385ff65c-899c-4c27-bc38-05f9776c9934</t>
  </si>
  <si>
    <t>快递员态度特别差</t>
  </si>
  <si>
    <t>用户明确表达对快递员服务态度的不满，属于投诉类</t>
  </si>
  <si>
    <t>7ee5fdba-f650-48e4-bdfb-dc3f8725b288</t>
  </si>
  <si>
    <t>你们的售后太垃圾了</t>
  </si>
  <si>
    <t>用户使用负面激烈词汇“垃圾”表达对售后服务的强烈不满，属于投诉意图</t>
  </si>
  <si>
    <t>84a5e849-7d31-4074-a728-00ed3fc93215</t>
  </si>
  <si>
    <t>询问退款渠道</t>
  </si>
  <si>
    <t>5d48888c-7d60-459a-86b0-508e1c64df48</t>
  </si>
  <si>
    <t>我要差评曝光你们</t>
  </si>
  <si>
    <t>用户表达强烈不满，威胁差评和曝光，属于投诉行为</t>
  </si>
  <si>
    <t>正常投诉表达</t>
  </si>
  <si>
    <t>1a504a74-bc69-45eb-90c4-eae4c88dc28c</t>
  </si>
  <si>
    <t>用户询问退货流程，属于退换货相关问题</t>
  </si>
  <si>
    <t>789dcfc2-250b-4cdf-ac1d-716903366c3d</t>
  </si>
  <si>
    <t>这是欺诈我要投诉到工商</t>
  </si>
  <si>
    <t>用户明确使用“欺诈”“投诉到工商”等激烈词汇表达不满</t>
  </si>
  <si>
    <t>正常客户投诉内容</t>
  </si>
  <si>
    <t>5d2914e3-32d1-4768-84db-fc0e5a511b61</t>
  </si>
  <si>
    <t>用户询问内衣能否退货，属于退换货咨询</t>
  </si>
  <si>
    <t>c6b63779-e2c9-4baa-9d2d-2dac0c92a2cd</t>
  </si>
  <si>
    <t>你们这个品牌真恶心</t>
  </si>
  <si>
    <t>用户明确表达对品牌的厌恶，使用强烈负面词汇</t>
  </si>
  <si>
    <t>1234419b-e12d-4243-bba3-6987620a6b58</t>
  </si>
  <si>
    <t>对商品质量表示不满，指出穿两次就起球</t>
  </si>
  <si>
    <t>正常产品质量投诉</t>
  </si>
  <si>
    <t>4654aa0b-1158-40d1-af28-b11a6a0c55a5</t>
  </si>
  <si>
    <t>东西烂成这样还好意思卖</t>
  </si>
  <si>
    <t>对商品质量表达强烈不满</t>
  </si>
  <si>
    <t>正常质量投诉</t>
  </si>
  <si>
    <t>afdbd45a-5560-4414-8527-d48fef384af6</t>
  </si>
  <si>
    <t>询问退货包装要求，属于退换货流程咨询</t>
  </si>
  <si>
    <t>38eeb2fc-7ab4-45cb-8d82-e71ec4e38fbf</t>
  </si>
  <si>
    <t>询问能否部分退货，属于退换货流程咨询</t>
  </si>
  <si>
    <t>cc9f6334-179c-4474-8cb4-898a225aae53</t>
  </si>
  <si>
    <t>等了一个小时没客服理我</t>
  </si>
  <si>
    <t>用户投诉长时间无人回应，表达不满</t>
  </si>
  <si>
    <t>18772668-cd7d-4a02-a9fd-feeb976af986</t>
  </si>
  <si>
    <t>询问换货的运费承担问题，属于退换货流程咨询</t>
  </si>
  <si>
    <t>7a30ea82-301d-466f-ae41-68e7e414a021</t>
  </si>
  <si>
    <t>客服只会说套话敷衍人</t>
  </si>
  <si>
    <t>用户表达对客服敷衍态度的不满，属于对服务态度的投诉</t>
  </si>
  <si>
    <t>75b5a3fd-b38a-407a-bb7f-c045f3ca74f7</t>
  </si>
  <si>
    <t>明确表达对客服态度不满</t>
  </si>
  <si>
    <t>94f56c2f-1e38-4104-abce-17eb5f20eb20</t>
  </si>
  <si>
    <t>我要找你们领导</t>
  </si>
  <si>
    <t>用户要求找领导，通常表达对现有服务不满，意图强烈，属于投诉范畴</t>
  </si>
  <si>
    <t>正常请求</t>
  </si>
  <si>
    <t>133da15b-d5ad-4439-9f77-6a34ee0751f0</t>
  </si>
  <si>
    <t>用户明确表达投诉意愿</t>
  </si>
  <si>
    <t>仅表示投诉意图</t>
  </si>
  <si>
    <t>f0ee805f-8546-4770-a4e8-e65e4623c6d1</t>
  </si>
  <si>
    <t>再这样我就去小红书曝光</t>
  </si>
  <si>
    <t>用户表达不满并威胁曝光，属于负面激烈词汇</t>
  </si>
  <si>
    <t>2c5aa70b-8a8a-49a7-a6c9-4b9756636b07</t>
  </si>
  <si>
    <t>你好</t>
  </si>
  <si>
    <t>闲聊</t>
  </si>
  <si>
    <t>用户仅表达问候，属于闲聊</t>
  </si>
  <si>
    <t>正常问候</t>
  </si>
  <si>
    <t>e827a025-1490-479d-9df9-5ac89b87c3a1</t>
  </si>
  <si>
    <t>用户表达不满，威胁称将拨打12315投诉，属于明确投诉意图</t>
  </si>
  <si>
    <t>bd995831-0ef4-453b-95a3-fd768c3a31a2</t>
  </si>
  <si>
    <t>在吗</t>
  </si>
  <si>
    <t>用户打招呼，属于日常问候</t>
  </si>
  <si>
    <t>c917fc23-332f-4c3e-a064-e2d576cee6be</t>
  </si>
  <si>
    <t>用户对快递员态度表达明确不满，属于对物流服务的投诉意图</t>
  </si>
  <si>
    <t>c09ff5eb-c2b1-4119-879b-63e53330f48a</t>
  </si>
  <si>
    <t>谢谢</t>
  </si>
  <si>
    <t>用户表达感谢，属于闲聊</t>
  </si>
  <si>
    <t>正常感谢</t>
  </si>
  <si>
    <t>58342add-1ed8-4a17-bc93-0c91a7743468</t>
  </si>
  <si>
    <t>用户明确使用负面词汇“垃圾”表达对售后服务的不满，属于明确投诉。</t>
  </si>
  <si>
    <t>dd7faa58-b518-40f1-8570-4d4ad1d9a2b7</t>
  </si>
  <si>
    <t>用户明确表达不满并威胁差评曝光</t>
  </si>
  <si>
    <t>正常投诉，无攻击性</t>
  </si>
  <si>
    <t>68b07bdb-1458-4f48-a242-f711361ed951</t>
  </si>
  <si>
    <t>好的</t>
  </si>
  <si>
    <t>用户输入为礼貌性回应，无具体业务意图</t>
  </si>
  <si>
    <t>ac184caf-902b-42b6-907e-979080df7a8e</t>
  </si>
  <si>
    <t>用户指控欺诈并威胁投诉到工商部门，表达强烈不满</t>
  </si>
  <si>
    <t>8d05a274-9b47-4205-9c4c-ded9bea3a46a</t>
  </si>
  <si>
    <t>嗯嗯</t>
  </si>
  <si>
    <t>用户输入为简单的应答词，无明确购物相关意向</t>
  </si>
  <si>
    <t>无风险内容</t>
  </si>
  <si>
    <t>589ca372-9a30-404e-9500-96d63531ee12</t>
  </si>
  <si>
    <t>表达对品牌的强烈不满，使用负面激烈词汇，符合投诉意图</t>
  </si>
  <si>
    <t>正常投诉表达不满</t>
  </si>
  <si>
    <t>3a4c6af8-520d-442d-a1e1-69a49e37ce0f</t>
  </si>
  <si>
    <t>早上好</t>
  </si>
  <si>
    <t>问候</t>
  </si>
  <si>
    <t>fb56da3d-696d-4849-8bd2-7dadad2bccb5</t>
  </si>
  <si>
    <t>用户用负面词汇'烂'和'还好意思卖'表达对商品质量的强烈不满</t>
  </si>
  <si>
    <t>正常投诉商品质量</t>
  </si>
  <si>
    <t>e201d8b7-dbf3-499f-939c-db15d49539fb</t>
  </si>
  <si>
    <t>你是机器人吗</t>
  </si>
  <si>
    <t>询问客服是否为机器人，属于与购物无关的随意对话</t>
  </si>
  <si>
    <t>b1dba1d0-aedc-4f9f-bc8b-207bb27253e0</t>
  </si>
  <si>
    <t>用户表达等待客服服务的不满</t>
  </si>
  <si>
    <t>626ac607-5c1f-4670-a6f0-c6a1890de40f</t>
  </si>
  <si>
    <t>哈哈</t>
  </si>
  <si>
    <t>用户输入'哈哈'，是表达开心的笑声，与购物无关的随意对话</t>
  </si>
  <si>
    <t>正常聊天内容</t>
  </si>
  <si>
    <t>e1b082d1-d6b6-46ff-aedd-e5a6fa1aad3e</t>
  </si>
  <si>
    <t>用户明确表达对客服敷衍态度的不满，属于服务态度投诉</t>
  </si>
  <si>
    <t>b7908bdc-7672-4998-a0ce-75a99ae038fa</t>
  </si>
  <si>
    <t>拜拜</t>
  </si>
  <si>
    <t>用户表达告别，属于闲聊</t>
  </si>
  <si>
    <t>普通告别语，无风险内容</t>
  </si>
  <si>
    <t>4b5019fc-49a6-4d9f-b4d7-39595290823c</t>
  </si>
  <si>
    <t>用户要求找领导，未明确表达投诉原因或情绪，无法直接归入投诉类</t>
  </si>
  <si>
    <t>45301d5e-6d2e-4e2c-84e7-e13881d8e05b</t>
  </si>
  <si>
    <t>今天天气真好</t>
  </si>
  <si>
    <t>与购物无关的闲聊内容，表达对天气的感叹</t>
  </si>
  <si>
    <t>a87c1ca4-686a-4180-8cce-7a95ab26e644</t>
  </si>
  <si>
    <t>用户表达不满并威胁去小红书曝光，使用了负面激烈词汇</t>
  </si>
  <si>
    <t>9faea2e7-9472-42fb-a51a-b6225e1137de</t>
  </si>
  <si>
    <t>哦</t>
  </si>
  <si>
    <t>用户输入为简短回应词，无明确购物意图，属于随意对话</t>
  </si>
  <si>
    <t>56fc3cb9-9cfe-44ff-887a-aae832da631b</t>
  </si>
  <si>
    <t>问候语，开启对话</t>
  </si>
  <si>
    <t>06cd8e3b-3302-4cc3-902d-a11289d0746f</t>
  </si>
  <si>
    <t>用户表达感谢，属于礼貌性结束语</t>
  </si>
  <si>
    <t>正常感谢语</t>
  </si>
  <si>
    <t>7b88eeee-fee2-45b0-ad3f-77b498a9b79b</t>
  </si>
  <si>
    <t>客服小姐姐在吗</t>
  </si>
  <si>
    <t>用户打招呼，问候客服</t>
  </si>
  <si>
    <t>0275f7a6-1002-4bc5-9785-ba3f547b9d98</t>
  </si>
  <si>
    <t>辛苦了</t>
  </si>
  <si>
    <t>用户表达慰问，属于问候/感谢类闲聊</t>
  </si>
  <si>
    <t>正常礼貌用语</t>
  </si>
  <si>
    <t>67cd36ff-fefa-489c-8a39-55f8d8ef1957</t>
  </si>
  <si>
    <t>用户输入'嗯嗯'属于无具体意图的随意回应</t>
  </si>
  <si>
    <t>正常对话</t>
  </si>
  <si>
    <t>5db7d3bd-d6fb-4d56-9d09-7ec496217c82</t>
  </si>
  <si>
    <t>这店还招人吗</t>
  </si>
  <si>
    <t>询问店铺是否招聘，不属于购物相关意图</t>
  </si>
  <si>
    <t>bce1e958-8219-4138-907b-cf3e6b6794f3</t>
  </si>
  <si>
    <t>用户打招呼，属于问候语</t>
  </si>
  <si>
    <t>普通问候</t>
  </si>
  <si>
    <t>252a9a52-43f9-4949-905e-d3598e29178d</t>
  </si>
  <si>
    <t>你们公司地址在哪</t>
  </si>
  <si>
    <t>询问公司地址，不属于售前咨询、订单查询、退换货、投诉或闲聊，归入其他</t>
  </si>
  <si>
    <t>正常询问信息</t>
  </si>
  <si>
    <t>249e1b89-6112-405b-94df-6af0a3be6691</t>
  </si>
  <si>
    <t>用户询问客服身份，与购物无关，属于闲聊</t>
  </si>
  <si>
    <t>54b6ab19-f59a-4d47-92c6-1bf3e2976620</t>
  </si>
  <si>
    <t>老板是谁</t>
  </si>
  <si>
    <t>询问老板身份，与购物无关</t>
  </si>
  <si>
    <t>询问经营者信息</t>
  </si>
  <si>
    <t>72005dbb-19dc-4834-a727-97fc77f00dfe</t>
  </si>
  <si>
    <t>表达轻松笑意的词汇，属于无关购物的随意对话</t>
  </si>
  <si>
    <t>47f8acf8-d1e9-4b1c-a8dd-8b0ab26f4196</t>
  </si>
  <si>
    <t>能帮我查一下别人的订单吗</t>
  </si>
  <si>
    <t>用户询问是否可以查询别人的订单，属于订单查询相关咨询</t>
  </si>
  <si>
    <t>3cd1a484-7f8c-4882-a6bc-8d6a5d7aeed7</t>
  </si>
  <si>
    <t>用户表达告别，属于闲聊对话</t>
  </si>
  <si>
    <t>正常告别用语</t>
  </si>
  <si>
    <t>d85e62a9-4448-429f-9336-e699098dc802</t>
  </si>
  <si>
    <t>我想加盟你们</t>
  </si>
  <si>
    <t>加盟咨询不属于购物相关意图</t>
  </si>
  <si>
    <t>正常加盟咨询</t>
  </si>
  <si>
    <t>f5d40270-687d-43a3-a506-2dc4a7b751f5</t>
  </si>
  <si>
    <t>与购物无关的随意对话</t>
  </si>
  <si>
    <t>正常对话内容</t>
  </si>
  <si>
    <t>7563cab9-7d01-477c-8660-9cc3cb1c2549</t>
  </si>
  <si>
    <t>这个品牌上市了吗</t>
  </si>
  <si>
    <t>询问品牌是否上市销售，属于购买前的商品信息咨询</t>
  </si>
  <si>
    <t>0f04fbae-cb54-46a9-a1cf-b6978afa68a7</t>
  </si>
  <si>
    <t>😊</t>
  </si>
  <si>
    <t>用户输入仅为表情符号，属于无具体购物意图的友好表达</t>
  </si>
  <si>
    <t>无输入待检测</t>
  </si>
  <si>
    <t>1ae7ddaf-aadf-46bc-a059-89a8b58818d2</t>
  </si>
  <si>
    <t>衣服洗完缩成童装了你们赔吗</t>
  </si>
  <si>
    <t>用户明确表达对商品缩水的不满并要求赔偿，属于投诉意图</t>
  </si>
  <si>
    <t>正常投诉，无风险</t>
  </si>
  <si>
    <t>32de4f3e-36e3-4e99-9be5-d28370fc539c</t>
  </si>
  <si>
    <t>我女朋友说不好看能退吗</t>
  </si>
  <si>
    <t>用户明确询问因主观因素（不好看）能否退货</t>
  </si>
  <si>
    <t>正常售后询问</t>
  </si>
  <si>
    <t>2fe7fc41-fff6-436f-bb2a-19210067d140</t>
  </si>
  <si>
    <t>问候客服，确认是否在线</t>
  </si>
  <si>
    <t>a4c1d2b8-f5c4-4d01-9101-5dc9cb0858f7</t>
  </si>
  <si>
    <t>这个衣服有甲醛吗检测过吗</t>
  </si>
  <si>
    <t>询问商品检测信息</t>
  </si>
  <si>
    <t>2759df9f-3cd4-45d8-ac49-481f9b6a0c1f</t>
  </si>
  <si>
    <t>用户表达感谢，属于礼貌性对话</t>
  </si>
  <si>
    <t>正常慰问语</t>
  </si>
  <si>
    <t>c2cea529-6bb2-4641-a683-0e15adcd5be9</t>
  </si>
  <si>
    <t>你能给我唱首歌吗</t>
  </si>
  <si>
    <t>用户要求唱歌，与购物无关的随意对话</t>
  </si>
  <si>
    <t>7af1d444-c4fa-4ed1-a21c-e8080af6f74c</t>
  </si>
  <si>
    <t>询问店铺招聘信息，与购物业务无关，属于随意对话</t>
  </si>
  <si>
    <t>a9f33979-d3f0-431c-95b3-91f069db2154</t>
  </si>
  <si>
    <t>询问公司地址</t>
  </si>
  <si>
    <t>2bb5d731-e40f-4ab6-a980-49e246da3780</t>
  </si>
  <si>
    <t>我之前买的现在降价了能退差价吗</t>
  </si>
  <si>
    <t>询问已购商品降价后的差价政策，非售前也非退换货或投诉</t>
  </si>
  <si>
    <t>ca9c366e-2e16-4779-aeb0-3efb429128f0</t>
  </si>
  <si>
    <t>询问身份信息，非购物相关</t>
  </si>
  <si>
    <t>2fe79823-9767-47cf-b30f-96a1d1372ff4</t>
  </si>
  <si>
    <t>我要把所有东西都退了不买了</t>
  </si>
  <si>
    <t>明确要求将所有商品退货并终止购买</t>
  </si>
  <si>
    <t>0bfc82cf-443a-4a7c-8d24-9676e88c7235</t>
  </si>
  <si>
    <t>用户询问能否查询订单，属于订单查询类问题</t>
  </si>
  <si>
    <t>正常查询请求</t>
  </si>
  <si>
    <t>53525d1f-e514-42a0-a1f7-188e78f3fc94</t>
  </si>
  <si>
    <t>你们家东西比隔壁贵为什么</t>
  </si>
  <si>
    <t>询问价格差异原因，属于购买前对价格的咨询，无明确投诉情绪</t>
  </si>
  <si>
    <t>正常价格询问</t>
  </si>
  <si>
    <t>a02a7fdd-7029-41c9-aded-726b641bfad6</t>
  </si>
  <si>
    <t>用户询问加盟事宜，不属于售前咨询、订单查询、退换货、投诉或闲聊类别</t>
  </si>
  <si>
    <t>正常加盟询问</t>
  </si>
  <si>
    <t>da1723d7-b218-4b96-91c7-d762ae2c435d</t>
  </si>
  <si>
    <t>尺码表看不懂能帮我选吗</t>
  </si>
  <si>
    <t>询问尺码选择帮助，属于商品信息咨询</t>
  </si>
  <si>
    <t>50968ae3-7228-4771-b65c-28ba6e80dbc9</t>
  </si>
  <si>
    <t>询问品牌是否上市，属于购买前信息咨询</t>
  </si>
  <si>
    <t>34895786-b377-4dc3-94fc-e4aab2fb60ec</t>
  </si>
  <si>
    <t>用户对商品质量表示不满，用夸张说法表达愤怒，要求赔偿</t>
  </si>
  <si>
    <t>12a3838b-1f13-4820-bae0-a47057407788</t>
  </si>
  <si>
    <t>我退货运费比衣服还贵怎么搞</t>
  </si>
  <si>
    <t>用户询问退货运费比商品贵如何处理，属于退换货流程中的问题</t>
  </si>
  <si>
    <t>正常投诉内容</t>
  </si>
  <si>
    <t>6d0deb94-3640-4351-822e-da28f2db78b1</t>
  </si>
  <si>
    <t>询问因外观不满意能否退货，属于退换货意图</t>
  </si>
  <si>
    <t>正常退换咨询</t>
  </si>
  <si>
    <t>9c5e5fc8-3f22-4bb9-a792-2f39e25aeaec</t>
  </si>
  <si>
    <t>我要退货 但是 嗯 算了不退了 还是退吧</t>
  </si>
  <si>
    <t>用户明确表达退货意愿，虽短暂犹豫但最终决定退货</t>
  </si>
  <si>
    <t>正常犹豫退货表达</t>
  </si>
  <si>
    <t>fa9cb46c-6ab0-4738-ba98-fe9de284caed</t>
  </si>
  <si>
    <t>询问商品是否含有甲醛及检测情况，属于售前商品信息咨询</t>
  </si>
  <si>
    <t>b8c27996-5667-46dd-9c8b-ebdb20075c2b</t>
  </si>
  <si>
    <t>用户请求唱歌，与电商购物无关，属于随意对话</t>
  </si>
  <si>
    <t>d7e6e801-6dca-4804-bd69-10b47f78308d</t>
  </si>
  <si>
    <t>询问购买后降价能否退差价，属于退款相关请求</t>
  </si>
  <si>
    <t>正常询价</t>
  </si>
  <si>
    <t>53ba481d-6492-471a-996a-e2609537ccc6</t>
  </si>
  <si>
    <t>用户明确表示要退还所有商品并取消购买</t>
  </si>
  <si>
    <t>正常退货投诉</t>
  </si>
  <si>
    <t>effa2ca1-9c12-4365-bd3b-1a3740a45672</t>
  </si>
  <si>
    <t>询问价格差异原因，属于售前产品比较咨询</t>
  </si>
  <si>
    <t>69930e58-3fcb-4e63-8b40-2363af92fd2c</t>
  </si>
  <si>
    <t>用户询问尺码选择帮助，属于购买前商品信息咨询</t>
  </si>
  <si>
    <t>9943b3fc-830a-4a94-98ca-783f3911c713</t>
  </si>
  <si>
    <t>用户提到退货并询问运费问题，属于退换货流程中的疑问</t>
  </si>
  <si>
    <t>正常客服咨询</t>
  </si>
  <si>
    <t>c5fb0c50-5567-4fce-b38d-2663f69f9f4b</t>
  </si>
  <si>
    <t>用户最终确认退货</t>
  </si>
  <si>
    <t>8e1db0d5-3bbb-4ba3-87b6-47959146911e</t>
  </si>
  <si>
    <t>意图</t>
  </si>
  <si>
    <t>次数</t>
  </si>
  <si>
    <t>占比</t>
  </si>
  <si>
    <t>总对话数</t>
  </si>
  <si>
    <t>售前咨询数</t>
  </si>
  <si>
    <t>退换货数</t>
  </si>
  <si>
    <t>投诉数</t>
  </si>
  <si>
    <t>转人工数</t>
  </si>
  <si>
    <t>风控拦截数</t>
  </si>
  <si>
    <t>有知识回答率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</si>
</sst>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0" xfId="0" applyFont="1"/>
    <xf borderId="0" fillId="0" fontId="1" numFmtId="10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38"/>
    <col customWidth="1" min="4" max="4" width="26.63"/>
    <col customWidth="1" min="7" max="7" width="28.5"/>
    <col customWidth="1" min="10" max="10" width="32.75"/>
    <col customWidth="1" min="12" max="12" width="3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46216.72382940972</v>
      </c>
      <c r="B2" s="1" t="s">
        <v>14</v>
      </c>
      <c r="C2" s="1" t="s">
        <v>15</v>
      </c>
      <c r="D2" s="1" t="s">
        <v>15</v>
      </c>
      <c r="E2" s="1" t="s">
        <v>16</v>
      </c>
      <c r="F2" s="3">
        <v>0.98</v>
      </c>
      <c r="G2" s="1" t="s">
        <v>17</v>
      </c>
      <c r="H2" s="1" t="s">
        <v>18</v>
      </c>
      <c r="I2" s="1" t="s">
        <v>19</v>
      </c>
      <c r="J2" s="1" t="s">
        <v>20</v>
      </c>
      <c r="K2" s="3">
        <v>1.0</v>
      </c>
    </row>
    <row r="3">
      <c r="A3" s="2">
        <v>46216.72390116898</v>
      </c>
      <c r="B3" s="1" t="s">
        <v>14</v>
      </c>
      <c r="C3" s="1" t="s">
        <v>15</v>
      </c>
      <c r="D3" s="1" t="s">
        <v>15</v>
      </c>
      <c r="E3" s="1" t="s">
        <v>16</v>
      </c>
      <c r="L3" s="1" t="s">
        <v>21</v>
      </c>
    </row>
    <row r="4">
      <c r="A4" s="2">
        <v>46216.72397064815</v>
      </c>
      <c r="B4" s="1" t="s">
        <v>14</v>
      </c>
      <c r="C4" s="1" t="s">
        <v>15</v>
      </c>
      <c r="D4" s="1" t="s">
        <v>15</v>
      </c>
      <c r="E4" s="1" t="s">
        <v>16</v>
      </c>
      <c r="L4" s="1" t="s">
        <v>22</v>
      </c>
    </row>
    <row r="5">
      <c r="A5" s="2">
        <v>46223.47878791667</v>
      </c>
      <c r="B5" s="1" t="s">
        <v>14</v>
      </c>
      <c r="C5" s="1" t="s">
        <v>23</v>
      </c>
      <c r="D5" s="1" t="s">
        <v>23</v>
      </c>
      <c r="E5" s="1" t="s">
        <v>16</v>
      </c>
      <c r="F5" s="3">
        <v>0.98</v>
      </c>
      <c r="G5" s="1" t="s">
        <v>24</v>
      </c>
      <c r="H5" s="1" t="s">
        <v>18</v>
      </c>
      <c r="I5" s="1" t="s">
        <v>25</v>
      </c>
      <c r="J5" s="1" t="s">
        <v>26</v>
      </c>
      <c r="K5" s="3">
        <v>1.0</v>
      </c>
    </row>
    <row r="6">
      <c r="A6" s="2">
        <v>46223.47888314815</v>
      </c>
      <c r="B6" s="1" t="s">
        <v>14</v>
      </c>
      <c r="C6" s="1" t="s">
        <v>23</v>
      </c>
      <c r="D6" s="1" t="s">
        <v>23</v>
      </c>
      <c r="E6" s="1" t="s">
        <v>16</v>
      </c>
      <c r="L6" s="1" t="s">
        <v>21</v>
      </c>
    </row>
    <row r="7">
      <c r="A7" s="2">
        <v>46223.47893520833</v>
      </c>
      <c r="B7" s="1" t="s">
        <v>14</v>
      </c>
      <c r="C7" s="1" t="s">
        <v>23</v>
      </c>
      <c r="D7" s="1" t="s">
        <v>23</v>
      </c>
      <c r="E7" s="1" t="s">
        <v>16</v>
      </c>
      <c r="L7" s="1" t="s">
        <v>22</v>
      </c>
    </row>
    <row r="8">
      <c r="A8" s="2">
        <v>46223.47905971065</v>
      </c>
      <c r="B8" s="1" t="s">
        <v>14</v>
      </c>
      <c r="C8" s="1" t="s">
        <v>27</v>
      </c>
      <c r="D8" s="1" t="s">
        <v>27</v>
      </c>
      <c r="E8" s="1" t="s">
        <v>16</v>
      </c>
      <c r="F8" s="3">
        <v>0.95</v>
      </c>
      <c r="G8" s="1" t="s">
        <v>28</v>
      </c>
      <c r="H8" s="1" t="s">
        <v>18</v>
      </c>
      <c r="I8" s="1" t="s">
        <v>19</v>
      </c>
      <c r="J8" s="1" t="s">
        <v>29</v>
      </c>
      <c r="K8" s="3">
        <v>1.0</v>
      </c>
    </row>
    <row r="9">
      <c r="A9" s="2">
        <v>46223.47911880787</v>
      </c>
      <c r="B9" s="1" t="s">
        <v>14</v>
      </c>
      <c r="C9" s="1" t="s">
        <v>27</v>
      </c>
      <c r="D9" s="1" t="s">
        <v>27</v>
      </c>
      <c r="E9" s="1" t="s">
        <v>16</v>
      </c>
      <c r="L9" s="1" t="s">
        <v>21</v>
      </c>
    </row>
    <row r="10">
      <c r="A10" s="2">
        <v>46223.47916290509</v>
      </c>
      <c r="B10" s="1" t="s">
        <v>14</v>
      </c>
      <c r="C10" s="1" t="s">
        <v>27</v>
      </c>
      <c r="D10" s="1" t="s">
        <v>27</v>
      </c>
      <c r="E10" s="1" t="s">
        <v>16</v>
      </c>
      <c r="L10" s="1" t="s">
        <v>22</v>
      </c>
    </row>
    <row r="11">
      <c r="A11" s="2">
        <v>46223.47927476851</v>
      </c>
      <c r="B11" s="1" t="s">
        <v>14</v>
      </c>
      <c r="C11" s="1" t="s">
        <v>30</v>
      </c>
      <c r="D11" s="1" t="s">
        <v>30</v>
      </c>
      <c r="E11" s="1" t="s">
        <v>16</v>
      </c>
      <c r="F11" s="3">
        <v>0.95</v>
      </c>
      <c r="G11" s="1" t="s">
        <v>31</v>
      </c>
      <c r="H11" s="1" t="s">
        <v>18</v>
      </c>
      <c r="I11" s="1" t="s">
        <v>32</v>
      </c>
      <c r="J11" s="1" t="s">
        <v>33</v>
      </c>
      <c r="K11" s="3">
        <v>1.0</v>
      </c>
    </row>
    <row r="12">
      <c r="A12" s="2">
        <v>46223.479337638884</v>
      </c>
      <c r="B12" s="1" t="s">
        <v>14</v>
      </c>
      <c r="C12" s="1" t="s">
        <v>30</v>
      </c>
      <c r="D12" s="1" t="s">
        <v>30</v>
      </c>
      <c r="E12" s="1" t="s">
        <v>16</v>
      </c>
      <c r="L12" s="1" t="s">
        <v>21</v>
      </c>
    </row>
    <row r="13">
      <c r="A13" s="2">
        <v>46223.47938902778</v>
      </c>
      <c r="B13" s="1" t="s">
        <v>14</v>
      </c>
      <c r="C13" s="1" t="s">
        <v>30</v>
      </c>
      <c r="D13" s="1" t="s">
        <v>30</v>
      </c>
      <c r="E13" s="1" t="s">
        <v>16</v>
      </c>
      <c r="L13" s="1" t="s">
        <v>22</v>
      </c>
    </row>
    <row r="14">
      <c r="A14" s="2">
        <v>46223.47949835648</v>
      </c>
      <c r="B14" s="1" t="s">
        <v>14</v>
      </c>
      <c r="C14" s="1" t="s">
        <v>34</v>
      </c>
      <c r="D14" s="1" t="s">
        <v>34</v>
      </c>
      <c r="E14" s="1" t="s">
        <v>16</v>
      </c>
      <c r="F14" s="3">
        <v>0.95</v>
      </c>
      <c r="G14" s="1" t="s">
        <v>35</v>
      </c>
      <c r="H14" s="1" t="s">
        <v>18</v>
      </c>
      <c r="I14" s="1" t="s">
        <v>36</v>
      </c>
      <c r="J14" s="1" t="s">
        <v>37</v>
      </c>
      <c r="K14" s="3">
        <v>1.0</v>
      </c>
    </row>
    <row r="15">
      <c r="A15" s="2">
        <v>46223.479570497686</v>
      </c>
      <c r="B15" s="1" t="s">
        <v>14</v>
      </c>
      <c r="C15" s="1" t="s">
        <v>34</v>
      </c>
      <c r="D15" s="1" t="s">
        <v>34</v>
      </c>
      <c r="E15" s="1" t="s">
        <v>16</v>
      </c>
      <c r="L15" s="1" t="s">
        <v>21</v>
      </c>
    </row>
    <row r="16">
      <c r="A16" s="2">
        <v>46223.479616516204</v>
      </c>
      <c r="B16" s="1" t="s">
        <v>14</v>
      </c>
      <c r="C16" s="1" t="s">
        <v>34</v>
      </c>
      <c r="D16" s="1" t="s">
        <v>34</v>
      </c>
      <c r="E16" s="1" t="s">
        <v>16</v>
      </c>
      <c r="L16" s="1" t="s">
        <v>22</v>
      </c>
    </row>
    <row r="17">
      <c r="A17" s="2">
        <v>46223.47967655092</v>
      </c>
      <c r="B17" s="1" t="s">
        <v>14</v>
      </c>
      <c r="C17" s="1" t="s">
        <v>23</v>
      </c>
      <c r="D17" s="1" t="s">
        <v>23</v>
      </c>
      <c r="E17" s="1" t="s">
        <v>16</v>
      </c>
      <c r="F17" s="3">
        <v>0.95</v>
      </c>
      <c r="G17" s="1" t="s">
        <v>38</v>
      </c>
      <c r="H17" s="1" t="s">
        <v>18</v>
      </c>
      <c r="I17" s="1" t="s">
        <v>39</v>
      </c>
      <c r="J17" s="1" t="s">
        <v>40</v>
      </c>
      <c r="K17" s="3">
        <v>1.0</v>
      </c>
    </row>
    <row r="18">
      <c r="A18" s="2">
        <v>46223.479723310185</v>
      </c>
      <c r="B18" s="1" t="s">
        <v>14</v>
      </c>
      <c r="C18" s="1" t="s">
        <v>41</v>
      </c>
      <c r="D18" s="1" t="s">
        <v>41</v>
      </c>
      <c r="E18" s="1" t="s">
        <v>16</v>
      </c>
      <c r="F18" s="3">
        <v>0.95</v>
      </c>
      <c r="G18" s="1" t="s">
        <v>42</v>
      </c>
      <c r="H18" s="1" t="s">
        <v>18</v>
      </c>
      <c r="I18" s="1" t="s">
        <v>43</v>
      </c>
      <c r="J18" s="1" t="s">
        <v>44</v>
      </c>
      <c r="K18" s="3">
        <v>1.0</v>
      </c>
    </row>
    <row r="19">
      <c r="A19" s="2">
        <v>46223.47973662037</v>
      </c>
      <c r="B19" s="1" t="s">
        <v>14</v>
      </c>
      <c r="C19" s="1" t="s">
        <v>23</v>
      </c>
      <c r="D19" s="1" t="s">
        <v>23</v>
      </c>
      <c r="E19" s="1" t="s">
        <v>16</v>
      </c>
      <c r="L19" s="1" t="s">
        <v>21</v>
      </c>
    </row>
    <row r="20">
      <c r="A20" s="2">
        <v>46223.47978922454</v>
      </c>
      <c r="B20" s="1" t="s">
        <v>14</v>
      </c>
      <c r="C20" s="1" t="s">
        <v>41</v>
      </c>
      <c r="D20" s="1" t="s">
        <v>41</v>
      </c>
      <c r="E20" s="1" t="s">
        <v>16</v>
      </c>
      <c r="L20" s="1" t="s">
        <v>21</v>
      </c>
    </row>
    <row r="21">
      <c r="A21" s="2">
        <v>46223.47978887732</v>
      </c>
      <c r="B21" s="1" t="s">
        <v>14</v>
      </c>
      <c r="C21" s="1" t="s">
        <v>23</v>
      </c>
      <c r="D21" s="1" t="s">
        <v>23</v>
      </c>
      <c r="E21" s="1" t="s">
        <v>16</v>
      </c>
      <c r="L21" s="1" t="s">
        <v>22</v>
      </c>
    </row>
    <row r="22">
      <c r="A22" s="2">
        <v>46223.479852847224</v>
      </c>
      <c r="B22" s="1" t="s">
        <v>14</v>
      </c>
      <c r="C22" s="1" t="s">
        <v>41</v>
      </c>
      <c r="D22" s="1" t="s">
        <v>41</v>
      </c>
      <c r="E22" s="1" t="s">
        <v>16</v>
      </c>
      <c r="L22" s="1" t="s">
        <v>22</v>
      </c>
    </row>
    <row r="23">
      <c r="A23" s="2">
        <v>46223.47989266204</v>
      </c>
      <c r="B23" s="1" t="s">
        <v>14</v>
      </c>
      <c r="C23" s="1" t="s">
        <v>27</v>
      </c>
      <c r="D23" s="1" t="s">
        <v>27</v>
      </c>
      <c r="E23" s="1" t="s">
        <v>16</v>
      </c>
      <c r="F23" s="3">
        <v>0.95</v>
      </c>
      <c r="G23" s="1" t="s">
        <v>45</v>
      </c>
      <c r="H23" s="1" t="s">
        <v>18</v>
      </c>
      <c r="I23" s="1" t="s">
        <v>46</v>
      </c>
      <c r="J23" s="1" t="s">
        <v>47</v>
      </c>
      <c r="K23" s="3">
        <v>1.0</v>
      </c>
    </row>
    <row r="24">
      <c r="A24" s="2">
        <v>46223.47994797454</v>
      </c>
      <c r="B24" s="1" t="s">
        <v>14</v>
      </c>
      <c r="C24" s="1" t="s">
        <v>27</v>
      </c>
      <c r="D24" s="1" t="s">
        <v>27</v>
      </c>
      <c r="E24" s="1" t="s">
        <v>16</v>
      </c>
      <c r="L24" s="1" t="s">
        <v>21</v>
      </c>
    </row>
    <row r="25">
      <c r="A25" s="2">
        <v>46223.47997417824</v>
      </c>
      <c r="B25" s="1" t="s">
        <v>14</v>
      </c>
      <c r="C25" s="1" t="s">
        <v>48</v>
      </c>
      <c r="D25" s="1" t="s">
        <v>48</v>
      </c>
      <c r="E25" s="1" t="s">
        <v>16</v>
      </c>
      <c r="F25" s="3">
        <v>0.95</v>
      </c>
      <c r="G25" s="1" t="s">
        <v>49</v>
      </c>
      <c r="H25" s="1" t="s">
        <v>18</v>
      </c>
      <c r="I25" s="1" t="s">
        <v>50</v>
      </c>
      <c r="J25" s="1" t="s">
        <v>51</v>
      </c>
      <c r="K25" s="3">
        <v>1.0</v>
      </c>
    </row>
    <row r="26">
      <c r="A26" s="2">
        <v>46223.48000040509</v>
      </c>
      <c r="B26" s="1" t="s">
        <v>14</v>
      </c>
      <c r="C26" s="1" t="s">
        <v>27</v>
      </c>
      <c r="D26" s="1" t="s">
        <v>27</v>
      </c>
      <c r="E26" s="1" t="s">
        <v>16</v>
      </c>
      <c r="L26" s="1" t="s">
        <v>22</v>
      </c>
    </row>
    <row r="27">
      <c r="A27" s="2">
        <v>46223.48003957176</v>
      </c>
      <c r="B27" s="1" t="s">
        <v>14</v>
      </c>
      <c r="C27" s="1" t="s">
        <v>48</v>
      </c>
      <c r="D27" s="1" t="s">
        <v>48</v>
      </c>
      <c r="E27" s="1" t="s">
        <v>16</v>
      </c>
      <c r="L27" s="1" t="s">
        <v>21</v>
      </c>
    </row>
    <row r="28">
      <c r="A28" s="2">
        <v>46223.480151261574</v>
      </c>
      <c r="B28" s="1" t="s">
        <v>14</v>
      </c>
      <c r="C28" s="1" t="s">
        <v>52</v>
      </c>
      <c r="D28" s="1" t="s">
        <v>52</v>
      </c>
      <c r="E28" s="1" t="s">
        <v>16</v>
      </c>
      <c r="F28" s="3">
        <v>0.98</v>
      </c>
      <c r="G28" s="1" t="s">
        <v>53</v>
      </c>
      <c r="H28" s="1" t="s">
        <v>18</v>
      </c>
      <c r="I28" s="1" t="s">
        <v>54</v>
      </c>
      <c r="J28" s="1" t="s">
        <v>55</v>
      </c>
      <c r="K28" s="3">
        <v>1.0</v>
      </c>
    </row>
    <row r="29">
      <c r="A29" s="2">
        <v>46223.48022600694</v>
      </c>
      <c r="B29" s="1" t="s">
        <v>14</v>
      </c>
      <c r="C29" s="1" t="s">
        <v>52</v>
      </c>
      <c r="D29" s="1" t="s">
        <v>52</v>
      </c>
      <c r="E29" s="1" t="s">
        <v>16</v>
      </c>
      <c r="L29" s="1" t="s">
        <v>21</v>
      </c>
    </row>
    <row r="30">
      <c r="A30" s="2">
        <v>46223.48028454861</v>
      </c>
      <c r="B30" s="1" t="s">
        <v>14</v>
      </c>
      <c r="C30" s="1" t="s">
        <v>52</v>
      </c>
      <c r="D30" s="1" t="s">
        <v>52</v>
      </c>
      <c r="E30" s="1" t="s">
        <v>16</v>
      </c>
      <c r="L30" s="1" t="s">
        <v>22</v>
      </c>
    </row>
    <row r="31">
      <c r="A31" s="2">
        <v>46223.480404050926</v>
      </c>
      <c r="B31" s="1" t="s">
        <v>14</v>
      </c>
      <c r="C31" s="1" t="s">
        <v>56</v>
      </c>
      <c r="D31" s="1" t="s">
        <v>56</v>
      </c>
      <c r="E31" s="1" t="s">
        <v>16</v>
      </c>
      <c r="F31" s="3">
        <v>0.99</v>
      </c>
      <c r="G31" s="1" t="s">
        <v>57</v>
      </c>
      <c r="H31" s="1" t="s">
        <v>18</v>
      </c>
      <c r="I31" s="1" t="s">
        <v>58</v>
      </c>
      <c r="J31" s="1" t="s">
        <v>59</v>
      </c>
      <c r="K31" s="3">
        <v>1.0</v>
      </c>
    </row>
    <row r="32">
      <c r="A32" s="2">
        <v>46223.480472083334</v>
      </c>
      <c r="B32" s="1" t="s">
        <v>14</v>
      </c>
      <c r="C32" s="1" t="s">
        <v>56</v>
      </c>
      <c r="D32" s="1" t="s">
        <v>56</v>
      </c>
      <c r="E32" s="1" t="s">
        <v>16</v>
      </c>
      <c r="L32" s="1" t="s">
        <v>21</v>
      </c>
    </row>
    <row r="33">
      <c r="A33" s="2">
        <v>46223.480576828704</v>
      </c>
      <c r="B33" s="1" t="s">
        <v>14</v>
      </c>
      <c r="C33" s="1" t="s">
        <v>60</v>
      </c>
      <c r="D33" s="1" t="s">
        <v>60</v>
      </c>
      <c r="E33" s="1" t="s">
        <v>16</v>
      </c>
      <c r="F33" s="3">
        <v>0.95</v>
      </c>
      <c r="G33" s="1" t="s">
        <v>61</v>
      </c>
      <c r="H33" s="1" t="s">
        <v>18</v>
      </c>
      <c r="I33" s="1" t="s">
        <v>43</v>
      </c>
      <c r="J33" s="1" t="s">
        <v>62</v>
      </c>
      <c r="K33" s="3">
        <v>1.0</v>
      </c>
    </row>
    <row r="34">
      <c r="A34" s="2">
        <v>46223.48058333334</v>
      </c>
      <c r="B34" s="1" t="s">
        <v>14</v>
      </c>
      <c r="C34" s="1" t="s">
        <v>23</v>
      </c>
      <c r="D34" s="1" t="s">
        <v>23</v>
      </c>
      <c r="E34" s="1" t="s">
        <v>16</v>
      </c>
      <c r="F34" s="3">
        <v>0.98</v>
      </c>
      <c r="G34" s="1" t="s">
        <v>63</v>
      </c>
      <c r="H34" s="1" t="s">
        <v>18</v>
      </c>
      <c r="I34" s="1" t="s">
        <v>43</v>
      </c>
      <c r="J34" s="1" t="s">
        <v>64</v>
      </c>
      <c r="K34" s="3">
        <v>1.0</v>
      </c>
    </row>
    <row r="35">
      <c r="A35" s="2">
        <v>46223.48062722222</v>
      </c>
      <c r="B35" s="1" t="s">
        <v>14</v>
      </c>
      <c r="C35" s="1" t="s">
        <v>60</v>
      </c>
      <c r="D35" s="1" t="s">
        <v>60</v>
      </c>
      <c r="E35" s="1" t="s">
        <v>16</v>
      </c>
      <c r="L35" s="1" t="s">
        <v>21</v>
      </c>
    </row>
    <row r="36">
      <c r="A36" s="2">
        <v>46223.48064688657</v>
      </c>
      <c r="B36" s="1" t="s">
        <v>14</v>
      </c>
      <c r="C36" s="1" t="s">
        <v>23</v>
      </c>
      <c r="D36" s="1" t="s">
        <v>23</v>
      </c>
      <c r="E36" s="1" t="s">
        <v>16</v>
      </c>
      <c r="L36" s="1" t="s">
        <v>21</v>
      </c>
    </row>
    <row r="37">
      <c r="A37" s="2">
        <v>46223.48069137731</v>
      </c>
      <c r="B37" s="1" t="s">
        <v>14</v>
      </c>
      <c r="C37" s="1" t="s">
        <v>60</v>
      </c>
      <c r="D37" s="1" t="s">
        <v>60</v>
      </c>
      <c r="E37" s="1" t="s">
        <v>16</v>
      </c>
      <c r="L37" s="1" t="s">
        <v>22</v>
      </c>
    </row>
    <row r="38">
      <c r="A38" s="2">
        <v>46223.480736377314</v>
      </c>
      <c r="B38" s="1" t="s">
        <v>14</v>
      </c>
      <c r="C38" s="1" t="s">
        <v>23</v>
      </c>
      <c r="D38" s="1" t="s">
        <v>23</v>
      </c>
      <c r="E38" s="1" t="s">
        <v>16</v>
      </c>
      <c r="L38" s="1" t="s">
        <v>22</v>
      </c>
    </row>
    <row r="39">
      <c r="A39" s="2">
        <v>46223.48081196759</v>
      </c>
      <c r="B39" s="1" t="s">
        <v>14</v>
      </c>
      <c r="C39" s="1" t="s">
        <v>65</v>
      </c>
      <c r="D39" s="1" t="s">
        <v>65</v>
      </c>
      <c r="E39" s="1" t="s">
        <v>16</v>
      </c>
      <c r="F39" s="3">
        <v>0.95</v>
      </c>
      <c r="G39" s="1" t="s">
        <v>66</v>
      </c>
      <c r="H39" s="1" t="s">
        <v>18</v>
      </c>
      <c r="I39" s="1" t="s">
        <v>67</v>
      </c>
      <c r="J39" s="1" t="s">
        <v>68</v>
      </c>
      <c r="K39" s="3">
        <v>1.0</v>
      </c>
    </row>
    <row r="40">
      <c r="A40" s="2">
        <v>46223.48084379629</v>
      </c>
      <c r="B40" s="1" t="s">
        <v>14</v>
      </c>
      <c r="C40" s="1" t="s">
        <v>27</v>
      </c>
      <c r="D40" s="1" t="s">
        <v>27</v>
      </c>
      <c r="E40" s="1" t="s">
        <v>16</v>
      </c>
      <c r="F40" s="3">
        <v>0.99</v>
      </c>
      <c r="G40" s="1" t="s">
        <v>69</v>
      </c>
      <c r="H40" s="1" t="s">
        <v>18</v>
      </c>
      <c r="I40" s="1" t="s">
        <v>39</v>
      </c>
      <c r="J40" s="1" t="s">
        <v>70</v>
      </c>
      <c r="K40" s="3">
        <v>1.0</v>
      </c>
    </row>
    <row r="41">
      <c r="A41" s="2">
        <v>46223.48087197916</v>
      </c>
      <c r="B41" s="1" t="s">
        <v>14</v>
      </c>
      <c r="C41" s="1" t="s">
        <v>65</v>
      </c>
      <c r="D41" s="1" t="s">
        <v>65</v>
      </c>
      <c r="E41" s="1" t="s">
        <v>16</v>
      </c>
      <c r="L41" s="1" t="s">
        <v>21</v>
      </c>
    </row>
    <row r="42">
      <c r="A42" s="2">
        <v>46223.48089716435</v>
      </c>
      <c r="B42" s="1" t="s">
        <v>14</v>
      </c>
      <c r="C42" s="1" t="s">
        <v>27</v>
      </c>
      <c r="D42" s="1" t="s">
        <v>27</v>
      </c>
      <c r="E42" s="1" t="s">
        <v>16</v>
      </c>
      <c r="L42" s="1" t="s">
        <v>21</v>
      </c>
    </row>
    <row r="43">
      <c r="A43" s="2">
        <v>46223.4809149537</v>
      </c>
      <c r="B43" s="1" t="s">
        <v>14</v>
      </c>
      <c r="C43" s="1" t="s">
        <v>65</v>
      </c>
      <c r="D43" s="1" t="s">
        <v>65</v>
      </c>
      <c r="E43" s="1" t="s">
        <v>16</v>
      </c>
      <c r="L43" s="1" t="s">
        <v>22</v>
      </c>
    </row>
    <row r="44">
      <c r="A44" s="2">
        <v>46223.48095668982</v>
      </c>
      <c r="B44" s="1" t="s">
        <v>14</v>
      </c>
      <c r="C44" s="1" t="s">
        <v>27</v>
      </c>
      <c r="D44" s="1" t="s">
        <v>27</v>
      </c>
      <c r="E44" s="1" t="s">
        <v>16</v>
      </c>
      <c r="L44" s="1" t="s">
        <v>22</v>
      </c>
    </row>
    <row r="45">
      <c r="A45" s="2">
        <v>46223.48104421297</v>
      </c>
      <c r="B45" s="1" t="s">
        <v>14</v>
      </c>
      <c r="C45" s="1" t="s">
        <v>71</v>
      </c>
      <c r="D45" s="1" t="s">
        <v>71</v>
      </c>
      <c r="E45" s="1" t="s">
        <v>16</v>
      </c>
      <c r="F45" s="3">
        <v>0.99</v>
      </c>
      <c r="G45" s="1" t="s">
        <v>72</v>
      </c>
      <c r="H45" s="1" t="s">
        <v>18</v>
      </c>
      <c r="I45" s="1" t="s">
        <v>73</v>
      </c>
      <c r="J45" s="1" t="s">
        <v>74</v>
      </c>
      <c r="K45" s="3">
        <v>1.0</v>
      </c>
    </row>
    <row r="46">
      <c r="A46" s="2">
        <v>46223.4810759838</v>
      </c>
      <c r="B46" s="1" t="s">
        <v>14</v>
      </c>
      <c r="C46" s="1" t="s">
        <v>30</v>
      </c>
      <c r="D46" s="1" t="s">
        <v>30</v>
      </c>
      <c r="E46" s="1" t="s">
        <v>16</v>
      </c>
      <c r="F46" s="3">
        <v>0.99</v>
      </c>
      <c r="G46" s="1" t="s">
        <v>75</v>
      </c>
      <c r="H46" s="1" t="s">
        <v>18</v>
      </c>
      <c r="I46" s="1" t="s">
        <v>76</v>
      </c>
      <c r="J46" s="1" t="s">
        <v>77</v>
      </c>
      <c r="K46" s="3">
        <v>1.0</v>
      </c>
    </row>
    <row r="47">
      <c r="A47" s="2">
        <v>46223.48111878472</v>
      </c>
      <c r="B47" s="1" t="s">
        <v>14</v>
      </c>
      <c r="C47" s="1" t="s">
        <v>71</v>
      </c>
      <c r="D47" s="1" t="s">
        <v>71</v>
      </c>
      <c r="E47" s="1" t="s">
        <v>16</v>
      </c>
      <c r="L47" s="1" t="s">
        <v>21</v>
      </c>
    </row>
    <row r="48">
      <c r="A48" s="2">
        <v>46223.48113510417</v>
      </c>
      <c r="B48" s="1" t="s">
        <v>14</v>
      </c>
      <c r="C48" s="1" t="s">
        <v>30</v>
      </c>
      <c r="D48" s="1" t="s">
        <v>30</v>
      </c>
      <c r="E48" s="1" t="s">
        <v>16</v>
      </c>
      <c r="L48" s="1" t="s">
        <v>21</v>
      </c>
    </row>
    <row r="49">
      <c r="A49" s="2">
        <v>46223.481177326394</v>
      </c>
      <c r="B49" s="1" t="s">
        <v>14</v>
      </c>
      <c r="C49" s="1" t="s">
        <v>71</v>
      </c>
      <c r="D49" s="1" t="s">
        <v>71</v>
      </c>
      <c r="E49" s="1" t="s">
        <v>16</v>
      </c>
      <c r="L49" s="1" t="s">
        <v>22</v>
      </c>
    </row>
    <row r="50">
      <c r="A50" s="2">
        <v>46223.48118619213</v>
      </c>
      <c r="B50" s="1" t="s">
        <v>14</v>
      </c>
      <c r="C50" s="1" t="s">
        <v>30</v>
      </c>
      <c r="D50" s="1" t="s">
        <v>30</v>
      </c>
      <c r="E50" s="1" t="s">
        <v>16</v>
      </c>
      <c r="L50" s="1" t="s">
        <v>22</v>
      </c>
    </row>
    <row r="51">
      <c r="A51" s="2">
        <v>46223.48127341435</v>
      </c>
      <c r="B51" s="1" t="s">
        <v>14</v>
      </c>
      <c r="C51" s="1" t="s">
        <v>78</v>
      </c>
      <c r="D51" s="1" t="s">
        <v>78</v>
      </c>
      <c r="E51" s="1" t="s">
        <v>16</v>
      </c>
      <c r="F51" s="3">
        <v>0.98</v>
      </c>
      <c r="G51" s="1" t="s">
        <v>79</v>
      </c>
      <c r="H51" s="1" t="s">
        <v>18</v>
      </c>
      <c r="I51" s="1" t="s">
        <v>80</v>
      </c>
      <c r="J51" s="1" t="s">
        <v>81</v>
      </c>
      <c r="K51" s="3">
        <v>1.0</v>
      </c>
    </row>
    <row r="52">
      <c r="A52" s="2">
        <v>46223.481294756944</v>
      </c>
      <c r="B52" s="1" t="s">
        <v>14</v>
      </c>
      <c r="C52" s="1" t="s">
        <v>34</v>
      </c>
      <c r="D52" s="1" t="s">
        <v>34</v>
      </c>
      <c r="E52" s="1" t="s">
        <v>16</v>
      </c>
      <c r="F52" s="3">
        <v>0.95</v>
      </c>
      <c r="G52" s="1" t="s">
        <v>82</v>
      </c>
      <c r="H52" s="1" t="s">
        <v>18</v>
      </c>
      <c r="I52" s="1" t="s">
        <v>83</v>
      </c>
      <c r="J52" s="1" t="s">
        <v>84</v>
      </c>
      <c r="K52" s="3">
        <v>1.0</v>
      </c>
    </row>
    <row r="53">
      <c r="A53" s="2">
        <v>46223.48133865741</v>
      </c>
      <c r="B53" s="1" t="s">
        <v>14</v>
      </c>
      <c r="C53" s="1" t="s">
        <v>78</v>
      </c>
      <c r="D53" s="1" t="s">
        <v>78</v>
      </c>
      <c r="E53" s="1" t="s">
        <v>16</v>
      </c>
      <c r="L53" s="1" t="s">
        <v>21</v>
      </c>
    </row>
    <row r="54">
      <c r="A54" s="2">
        <v>46223.481349340276</v>
      </c>
      <c r="B54" s="1" t="s">
        <v>14</v>
      </c>
      <c r="C54" s="1" t="s">
        <v>34</v>
      </c>
      <c r="D54" s="1" t="s">
        <v>34</v>
      </c>
      <c r="E54" s="1" t="s">
        <v>16</v>
      </c>
      <c r="L54" s="1" t="s">
        <v>21</v>
      </c>
    </row>
    <row r="55">
      <c r="A55" s="2">
        <v>46223.4813937963</v>
      </c>
      <c r="B55" s="1" t="s">
        <v>14</v>
      </c>
      <c r="C55" s="1" t="s">
        <v>78</v>
      </c>
      <c r="D55" s="1" t="s">
        <v>78</v>
      </c>
      <c r="E55" s="1" t="s">
        <v>16</v>
      </c>
      <c r="L55" s="1" t="s">
        <v>22</v>
      </c>
    </row>
    <row r="56">
      <c r="A56" s="2">
        <v>46223.48139976852</v>
      </c>
      <c r="B56" s="1" t="s">
        <v>14</v>
      </c>
      <c r="C56" s="1" t="s">
        <v>34</v>
      </c>
      <c r="D56" s="1" t="s">
        <v>34</v>
      </c>
      <c r="E56" s="1" t="s">
        <v>16</v>
      </c>
      <c r="L56" s="1" t="s">
        <v>22</v>
      </c>
    </row>
    <row r="57">
      <c r="A57" s="2">
        <v>46223.4815066088</v>
      </c>
      <c r="B57" s="1" t="s">
        <v>14</v>
      </c>
      <c r="C57" s="1" t="s">
        <v>41</v>
      </c>
      <c r="D57" s="1" t="s">
        <v>41</v>
      </c>
      <c r="E57" s="1" t="s">
        <v>16</v>
      </c>
      <c r="F57" s="3">
        <v>0.99</v>
      </c>
      <c r="G57" s="1" t="s">
        <v>85</v>
      </c>
      <c r="H57" s="1" t="s">
        <v>18</v>
      </c>
      <c r="I57" s="1" t="s">
        <v>43</v>
      </c>
      <c r="J57" s="1" t="s">
        <v>86</v>
      </c>
      <c r="K57" s="3">
        <v>1.0</v>
      </c>
    </row>
    <row r="58">
      <c r="A58" s="2">
        <v>46223.48152262731</v>
      </c>
      <c r="B58" s="1" t="s">
        <v>14</v>
      </c>
      <c r="C58" s="1" t="s">
        <v>87</v>
      </c>
      <c r="D58" s="1" t="s">
        <v>87</v>
      </c>
      <c r="E58" s="1" t="s">
        <v>16</v>
      </c>
      <c r="F58" s="3">
        <v>0.9</v>
      </c>
      <c r="G58" s="1" t="s">
        <v>88</v>
      </c>
      <c r="H58" s="1" t="s">
        <v>18</v>
      </c>
      <c r="I58" s="1" t="s">
        <v>89</v>
      </c>
      <c r="J58" s="1" t="s">
        <v>90</v>
      </c>
      <c r="K58" s="3">
        <v>1.0</v>
      </c>
    </row>
    <row r="59">
      <c r="A59" s="2">
        <v>46223.48156104167</v>
      </c>
      <c r="B59" s="1" t="s">
        <v>14</v>
      </c>
      <c r="C59" s="1" t="s">
        <v>41</v>
      </c>
      <c r="D59" s="1" t="s">
        <v>41</v>
      </c>
      <c r="E59" s="1" t="s">
        <v>16</v>
      </c>
      <c r="L59" s="1" t="s">
        <v>21</v>
      </c>
    </row>
    <row r="60">
      <c r="A60" s="2">
        <v>46223.48158640046</v>
      </c>
      <c r="B60" s="1" t="s">
        <v>14</v>
      </c>
      <c r="C60" s="1" t="s">
        <v>87</v>
      </c>
      <c r="D60" s="1" t="s">
        <v>87</v>
      </c>
      <c r="E60" s="1" t="s">
        <v>16</v>
      </c>
      <c r="L60" s="1" t="s">
        <v>21</v>
      </c>
    </row>
    <row r="61">
      <c r="A61" s="2">
        <v>46223.48162398148</v>
      </c>
      <c r="B61" s="1" t="s">
        <v>14</v>
      </c>
      <c r="C61" s="1" t="s">
        <v>41</v>
      </c>
      <c r="D61" s="1" t="s">
        <v>41</v>
      </c>
      <c r="E61" s="1" t="s">
        <v>16</v>
      </c>
      <c r="L61" s="1" t="s">
        <v>22</v>
      </c>
    </row>
    <row r="62">
      <c r="A62" s="2">
        <v>46223.48165501158</v>
      </c>
      <c r="B62" s="1" t="s">
        <v>14</v>
      </c>
      <c r="C62" s="1" t="s">
        <v>87</v>
      </c>
      <c r="D62" s="1" t="s">
        <v>87</v>
      </c>
      <c r="E62" s="1" t="s">
        <v>16</v>
      </c>
      <c r="L62" s="1" t="s">
        <v>22</v>
      </c>
    </row>
    <row r="63">
      <c r="A63" s="2">
        <v>46223.481732291664</v>
      </c>
      <c r="B63" s="1" t="s">
        <v>14</v>
      </c>
      <c r="C63" s="1" t="s">
        <v>48</v>
      </c>
      <c r="D63" s="1" t="s">
        <v>48</v>
      </c>
      <c r="E63" s="1" t="s">
        <v>16</v>
      </c>
      <c r="F63" s="3">
        <v>0.95</v>
      </c>
      <c r="G63" s="1" t="s">
        <v>91</v>
      </c>
      <c r="H63" s="1" t="s">
        <v>18</v>
      </c>
      <c r="I63" s="1" t="s">
        <v>92</v>
      </c>
      <c r="J63" s="1" t="s">
        <v>93</v>
      </c>
      <c r="K63" s="3">
        <v>1.0</v>
      </c>
    </row>
    <row r="64">
      <c r="A64" s="2">
        <v>46223.48176576389</v>
      </c>
      <c r="B64" s="1" t="s">
        <v>14</v>
      </c>
      <c r="C64" s="1" t="s">
        <v>94</v>
      </c>
      <c r="D64" s="1" t="s">
        <v>94</v>
      </c>
      <c r="E64" s="1" t="s">
        <v>16</v>
      </c>
      <c r="F64" s="3">
        <v>0.95</v>
      </c>
      <c r="G64" s="1" t="s">
        <v>95</v>
      </c>
      <c r="H64" s="1" t="s">
        <v>18</v>
      </c>
      <c r="I64" s="1" t="s">
        <v>96</v>
      </c>
      <c r="J64" s="1" t="s">
        <v>97</v>
      </c>
      <c r="K64" s="3">
        <v>1.0</v>
      </c>
    </row>
    <row r="65">
      <c r="A65" s="2">
        <v>46223.48179288194</v>
      </c>
      <c r="B65" s="1" t="s">
        <v>14</v>
      </c>
      <c r="C65" s="1" t="s">
        <v>48</v>
      </c>
      <c r="D65" s="1" t="s">
        <v>48</v>
      </c>
      <c r="E65" s="1" t="s">
        <v>16</v>
      </c>
      <c r="L65" s="1" t="s">
        <v>21</v>
      </c>
    </row>
    <row r="66">
      <c r="A66" s="2">
        <v>46223.48181997685</v>
      </c>
      <c r="B66" s="1" t="s">
        <v>14</v>
      </c>
      <c r="C66" s="1" t="s">
        <v>94</v>
      </c>
      <c r="D66" s="1" t="s">
        <v>94</v>
      </c>
      <c r="E66" s="1" t="s">
        <v>16</v>
      </c>
      <c r="L66" s="1" t="s">
        <v>21</v>
      </c>
    </row>
    <row r="67">
      <c r="A67" s="2">
        <v>46223.48186457176</v>
      </c>
      <c r="B67" s="1" t="s">
        <v>14</v>
      </c>
      <c r="C67" s="1" t="s">
        <v>94</v>
      </c>
      <c r="D67" s="1" t="s">
        <v>94</v>
      </c>
      <c r="E67" s="1" t="s">
        <v>16</v>
      </c>
      <c r="L67" s="1" t="s">
        <v>22</v>
      </c>
    </row>
    <row r="68">
      <c r="A68" s="2">
        <v>46223.48190212963</v>
      </c>
      <c r="B68" s="1" t="s">
        <v>14</v>
      </c>
      <c r="C68" s="1" t="s">
        <v>52</v>
      </c>
      <c r="D68" s="1" t="s">
        <v>52</v>
      </c>
      <c r="E68" s="1" t="s">
        <v>16</v>
      </c>
      <c r="F68" s="3">
        <v>0.95</v>
      </c>
      <c r="G68" s="1" t="s">
        <v>98</v>
      </c>
      <c r="H68" s="1" t="s">
        <v>18</v>
      </c>
      <c r="I68" s="1" t="s">
        <v>99</v>
      </c>
      <c r="J68" s="1" t="s">
        <v>100</v>
      </c>
      <c r="K68" s="3">
        <v>1.0</v>
      </c>
    </row>
    <row r="69">
      <c r="A69" s="2">
        <v>46223.481959467594</v>
      </c>
      <c r="B69" s="1" t="s">
        <v>14</v>
      </c>
      <c r="C69" s="1" t="s">
        <v>52</v>
      </c>
      <c r="D69" s="1" t="s">
        <v>52</v>
      </c>
      <c r="E69" s="1" t="s">
        <v>16</v>
      </c>
      <c r="L69" s="1" t="s">
        <v>21</v>
      </c>
    </row>
    <row r="70">
      <c r="A70" s="2">
        <v>46223.481966481486</v>
      </c>
      <c r="B70" s="1" t="s">
        <v>14</v>
      </c>
      <c r="C70" s="1" t="s">
        <v>101</v>
      </c>
      <c r="D70" s="1" t="s">
        <v>101</v>
      </c>
      <c r="E70" s="1" t="s">
        <v>16</v>
      </c>
      <c r="F70" s="3">
        <v>0.98</v>
      </c>
      <c r="G70" s="1" t="s">
        <v>102</v>
      </c>
      <c r="H70" s="1" t="s">
        <v>18</v>
      </c>
      <c r="I70" s="1" t="s">
        <v>39</v>
      </c>
      <c r="J70" s="1" t="s">
        <v>103</v>
      </c>
      <c r="K70" s="3">
        <v>1.0</v>
      </c>
    </row>
    <row r="71">
      <c r="A71" s="2">
        <v>46223.48202616898</v>
      </c>
      <c r="B71" s="1" t="s">
        <v>14</v>
      </c>
      <c r="C71" s="1" t="s">
        <v>101</v>
      </c>
      <c r="D71" s="1" t="s">
        <v>101</v>
      </c>
      <c r="E71" s="1" t="s">
        <v>16</v>
      </c>
      <c r="L71" s="1" t="s">
        <v>21</v>
      </c>
    </row>
    <row r="72">
      <c r="A72" s="2">
        <v>46223.48208512731</v>
      </c>
      <c r="B72" s="1" t="s">
        <v>14</v>
      </c>
      <c r="C72" s="1" t="s">
        <v>52</v>
      </c>
      <c r="D72" s="1" t="s">
        <v>52</v>
      </c>
      <c r="E72" s="1" t="s">
        <v>16</v>
      </c>
      <c r="L72" s="1" t="s">
        <v>22</v>
      </c>
    </row>
    <row r="73">
      <c r="A73" s="2">
        <v>46223.48213409723</v>
      </c>
      <c r="B73" s="1" t="s">
        <v>14</v>
      </c>
      <c r="C73" s="1" t="s">
        <v>104</v>
      </c>
      <c r="D73" s="1" t="s">
        <v>104</v>
      </c>
      <c r="E73" s="1" t="s">
        <v>16</v>
      </c>
      <c r="F73" s="3">
        <v>0.98</v>
      </c>
      <c r="G73" s="1" t="s">
        <v>105</v>
      </c>
      <c r="H73" s="1" t="s">
        <v>18</v>
      </c>
      <c r="I73" s="1" t="s">
        <v>19</v>
      </c>
      <c r="J73" s="1" t="s">
        <v>106</v>
      </c>
      <c r="K73" s="3">
        <v>1.0</v>
      </c>
    </row>
    <row r="74">
      <c r="A74" s="2">
        <v>46223.48220297454</v>
      </c>
      <c r="B74" s="1" t="s">
        <v>14</v>
      </c>
      <c r="C74" s="1" t="s">
        <v>56</v>
      </c>
      <c r="D74" s="1" t="s">
        <v>56</v>
      </c>
      <c r="E74" s="1" t="s">
        <v>16</v>
      </c>
      <c r="F74" s="3">
        <v>0.95</v>
      </c>
      <c r="G74" s="1" t="s">
        <v>107</v>
      </c>
      <c r="H74" s="1" t="s">
        <v>18</v>
      </c>
      <c r="I74" s="1" t="s">
        <v>108</v>
      </c>
      <c r="J74" s="1" t="s">
        <v>109</v>
      </c>
      <c r="K74" s="3">
        <v>1.0</v>
      </c>
    </row>
    <row r="75">
      <c r="A75" s="2">
        <v>46223.48221811342</v>
      </c>
      <c r="B75" s="1" t="s">
        <v>14</v>
      </c>
      <c r="C75" s="1" t="s">
        <v>104</v>
      </c>
      <c r="D75" s="1" t="s">
        <v>104</v>
      </c>
      <c r="E75" s="1" t="s">
        <v>16</v>
      </c>
      <c r="L75" s="1" t="s">
        <v>21</v>
      </c>
    </row>
    <row r="76">
      <c r="A76" s="2">
        <v>46223.4822683449</v>
      </c>
      <c r="B76" s="1" t="s">
        <v>14</v>
      </c>
      <c r="C76" s="1" t="s">
        <v>104</v>
      </c>
      <c r="D76" s="1" t="s">
        <v>104</v>
      </c>
      <c r="E76" s="1" t="s">
        <v>16</v>
      </c>
      <c r="L76" s="1" t="s">
        <v>22</v>
      </c>
    </row>
    <row r="77">
      <c r="A77" s="2">
        <v>46223.482297118055</v>
      </c>
      <c r="B77" s="1" t="s">
        <v>14</v>
      </c>
      <c r="C77" s="1" t="s">
        <v>56</v>
      </c>
      <c r="D77" s="1" t="s">
        <v>56</v>
      </c>
      <c r="E77" s="1" t="s">
        <v>16</v>
      </c>
      <c r="L77" s="1" t="s">
        <v>21</v>
      </c>
    </row>
    <row r="78">
      <c r="A78" s="2">
        <v>46223.48237787037</v>
      </c>
      <c r="B78" s="1" t="s">
        <v>14</v>
      </c>
      <c r="C78" s="1" t="s">
        <v>110</v>
      </c>
      <c r="D78" s="1" t="s">
        <v>110</v>
      </c>
      <c r="E78" s="1" t="s">
        <v>16</v>
      </c>
      <c r="F78" s="3">
        <v>0.98</v>
      </c>
      <c r="G78" s="1" t="s">
        <v>111</v>
      </c>
      <c r="H78" s="1" t="s">
        <v>18</v>
      </c>
      <c r="I78" s="1" t="s">
        <v>112</v>
      </c>
      <c r="J78" s="1" t="s">
        <v>113</v>
      </c>
      <c r="K78" s="3">
        <v>1.0</v>
      </c>
    </row>
    <row r="79">
      <c r="A79" s="2">
        <v>46223.48241065972</v>
      </c>
      <c r="B79" s="1" t="s">
        <v>14</v>
      </c>
      <c r="C79" s="1" t="s">
        <v>60</v>
      </c>
      <c r="D79" s="1" t="s">
        <v>60</v>
      </c>
      <c r="E79" s="1" t="s">
        <v>16</v>
      </c>
      <c r="F79" s="3">
        <v>0.98</v>
      </c>
      <c r="G79" s="1" t="s">
        <v>114</v>
      </c>
      <c r="H79" s="1" t="s">
        <v>18</v>
      </c>
      <c r="I79" s="1" t="s">
        <v>115</v>
      </c>
      <c r="J79" s="1" t="s">
        <v>116</v>
      </c>
      <c r="K79" s="3">
        <v>1.0</v>
      </c>
    </row>
    <row r="80">
      <c r="A80" s="2">
        <v>46223.48243280093</v>
      </c>
      <c r="B80" s="1" t="s">
        <v>14</v>
      </c>
      <c r="C80" s="1" t="s">
        <v>110</v>
      </c>
      <c r="D80" s="1" t="s">
        <v>110</v>
      </c>
      <c r="E80" s="1" t="s">
        <v>16</v>
      </c>
      <c r="L80" s="1" t="s">
        <v>21</v>
      </c>
    </row>
    <row r="81">
      <c r="A81" s="2">
        <v>46223.48247509259</v>
      </c>
      <c r="B81" s="1" t="s">
        <v>14</v>
      </c>
      <c r="C81" s="1" t="s">
        <v>60</v>
      </c>
      <c r="D81" s="1" t="s">
        <v>60</v>
      </c>
      <c r="E81" s="1" t="s">
        <v>16</v>
      </c>
      <c r="L81" s="1" t="s">
        <v>21</v>
      </c>
    </row>
    <row r="82">
      <c r="A82" s="2">
        <v>46223.482531539354</v>
      </c>
      <c r="B82" s="1" t="s">
        <v>14</v>
      </c>
      <c r="C82" s="1" t="s">
        <v>60</v>
      </c>
      <c r="D82" s="1" t="s">
        <v>60</v>
      </c>
      <c r="E82" s="1" t="s">
        <v>16</v>
      </c>
      <c r="L82" s="1" t="s">
        <v>22</v>
      </c>
    </row>
    <row r="83">
      <c r="A83" s="2">
        <v>46223.48254648148</v>
      </c>
      <c r="B83" s="1" t="s">
        <v>14</v>
      </c>
      <c r="C83" s="1" t="s">
        <v>117</v>
      </c>
      <c r="D83" s="1" t="s">
        <v>117</v>
      </c>
      <c r="E83" s="1" t="s">
        <v>16</v>
      </c>
      <c r="F83" s="3">
        <v>0.98</v>
      </c>
      <c r="G83" s="1" t="s">
        <v>118</v>
      </c>
      <c r="H83" s="1" t="s">
        <v>18</v>
      </c>
      <c r="I83" s="1" t="s">
        <v>43</v>
      </c>
      <c r="J83" s="1" t="s">
        <v>119</v>
      </c>
      <c r="K83" s="3">
        <v>1.0</v>
      </c>
    </row>
    <row r="84">
      <c r="A84" s="2">
        <v>46223.4826062037</v>
      </c>
      <c r="B84" s="1" t="s">
        <v>14</v>
      </c>
      <c r="C84" s="1" t="s">
        <v>117</v>
      </c>
      <c r="D84" s="1" t="s">
        <v>117</v>
      </c>
      <c r="E84" s="1" t="s">
        <v>16</v>
      </c>
      <c r="L84" s="1" t="s">
        <v>21</v>
      </c>
    </row>
    <row r="85">
      <c r="A85" s="2">
        <v>46223.482659155095</v>
      </c>
      <c r="B85" s="1" t="s">
        <v>14</v>
      </c>
      <c r="C85" s="1" t="s">
        <v>117</v>
      </c>
      <c r="D85" s="1" t="s">
        <v>117</v>
      </c>
      <c r="E85" s="1" t="s">
        <v>16</v>
      </c>
      <c r="L85" s="1" t="s">
        <v>22</v>
      </c>
    </row>
    <row r="86">
      <c r="A86" s="2">
        <v>46223.48266292824</v>
      </c>
      <c r="B86" s="1" t="s">
        <v>14</v>
      </c>
      <c r="C86" s="1" t="s">
        <v>65</v>
      </c>
      <c r="D86" s="1" t="s">
        <v>65</v>
      </c>
      <c r="E86" s="1" t="s">
        <v>16</v>
      </c>
      <c r="F86" s="3">
        <v>0.95</v>
      </c>
      <c r="G86" s="1" t="s">
        <v>120</v>
      </c>
      <c r="H86" s="1" t="s">
        <v>18</v>
      </c>
      <c r="I86" s="1" t="s">
        <v>121</v>
      </c>
      <c r="J86" s="1" t="s">
        <v>122</v>
      </c>
      <c r="K86" s="3">
        <v>1.0</v>
      </c>
    </row>
    <row r="87">
      <c r="A87" s="2">
        <v>46223.48272502315</v>
      </c>
      <c r="B87" s="1" t="s">
        <v>14</v>
      </c>
      <c r="C87" s="1" t="s">
        <v>65</v>
      </c>
      <c r="D87" s="1" t="s">
        <v>65</v>
      </c>
      <c r="E87" s="1" t="s">
        <v>16</v>
      </c>
      <c r="L87" s="1" t="s">
        <v>21</v>
      </c>
    </row>
    <row r="88">
      <c r="A88" s="2">
        <v>46223.48276859954</v>
      </c>
      <c r="B88" s="1" t="s">
        <v>14</v>
      </c>
      <c r="C88" s="1" t="s">
        <v>123</v>
      </c>
      <c r="D88" s="1" t="s">
        <v>123</v>
      </c>
      <c r="E88" s="1" t="s">
        <v>16</v>
      </c>
      <c r="F88" s="3">
        <v>0.98</v>
      </c>
      <c r="G88" s="1" t="s">
        <v>124</v>
      </c>
      <c r="H88" s="1" t="s">
        <v>18</v>
      </c>
      <c r="I88" s="1" t="s">
        <v>125</v>
      </c>
      <c r="J88" s="1" t="s">
        <v>126</v>
      </c>
      <c r="K88" s="3">
        <v>1.0</v>
      </c>
    </row>
    <row r="89">
      <c r="A89" s="2">
        <v>46223.48277689815</v>
      </c>
      <c r="B89" s="1" t="s">
        <v>14</v>
      </c>
      <c r="C89" s="1" t="s">
        <v>65</v>
      </c>
      <c r="D89" s="1" t="s">
        <v>65</v>
      </c>
      <c r="E89" s="1" t="s">
        <v>16</v>
      </c>
      <c r="L89" s="1" t="s">
        <v>22</v>
      </c>
    </row>
    <row r="90">
      <c r="A90" s="2">
        <v>46223.482829189816</v>
      </c>
      <c r="B90" s="1" t="s">
        <v>14</v>
      </c>
      <c r="C90" s="1" t="s">
        <v>123</v>
      </c>
      <c r="D90" s="1" t="s">
        <v>123</v>
      </c>
      <c r="E90" s="1" t="s">
        <v>16</v>
      </c>
      <c r="L90" s="1" t="s">
        <v>21</v>
      </c>
    </row>
    <row r="91">
      <c r="A91" s="2">
        <v>46223.48290765047</v>
      </c>
      <c r="B91" s="1" t="s">
        <v>14</v>
      </c>
      <c r="C91" s="1" t="s">
        <v>71</v>
      </c>
      <c r="D91" s="1" t="s">
        <v>71</v>
      </c>
      <c r="E91" s="1" t="s">
        <v>16</v>
      </c>
      <c r="F91" s="3">
        <v>0.98</v>
      </c>
      <c r="G91" s="1" t="s">
        <v>127</v>
      </c>
      <c r="H91" s="1" t="s">
        <v>18</v>
      </c>
      <c r="I91" s="1" t="s">
        <v>73</v>
      </c>
      <c r="J91" s="1" t="s">
        <v>128</v>
      </c>
      <c r="K91" s="3">
        <v>1.0</v>
      </c>
    </row>
    <row r="92">
      <c r="A92" s="2">
        <v>46223.482909722225</v>
      </c>
      <c r="B92" s="1" t="s">
        <v>14</v>
      </c>
      <c r="C92" s="1" t="s">
        <v>123</v>
      </c>
      <c r="D92" s="1" t="s">
        <v>123</v>
      </c>
      <c r="E92" s="1" t="s">
        <v>16</v>
      </c>
      <c r="L92" s="1" t="s">
        <v>22</v>
      </c>
    </row>
    <row r="93">
      <c r="A93" s="2">
        <v>46223.48295910879</v>
      </c>
      <c r="B93" s="1" t="s">
        <v>14</v>
      </c>
      <c r="C93" s="1" t="s">
        <v>71</v>
      </c>
      <c r="D93" s="1" t="s">
        <v>71</v>
      </c>
      <c r="E93" s="1" t="s">
        <v>16</v>
      </c>
      <c r="L93" s="1" t="s">
        <v>21</v>
      </c>
    </row>
    <row r="94">
      <c r="A94" s="2">
        <v>46223.483015150465</v>
      </c>
      <c r="B94" s="1" t="s">
        <v>14</v>
      </c>
      <c r="C94" s="1" t="s">
        <v>129</v>
      </c>
      <c r="D94" s="1" t="s">
        <v>129</v>
      </c>
      <c r="E94" s="1" t="s">
        <v>16</v>
      </c>
      <c r="F94" s="3">
        <v>0.98</v>
      </c>
      <c r="G94" s="1" t="s">
        <v>130</v>
      </c>
      <c r="H94" s="1" t="s">
        <v>18</v>
      </c>
      <c r="I94" s="1" t="s">
        <v>39</v>
      </c>
      <c r="J94" s="1" t="s">
        <v>131</v>
      </c>
      <c r="K94" s="3">
        <v>1.0</v>
      </c>
    </row>
    <row r="95">
      <c r="A95" s="2">
        <v>46223.48303167824</v>
      </c>
      <c r="B95" s="1" t="s">
        <v>14</v>
      </c>
      <c r="C95" s="1" t="s">
        <v>71</v>
      </c>
      <c r="D95" s="1" t="s">
        <v>71</v>
      </c>
      <c r="E95" s="1" t="s">
        <v>16</v>
      </c>
      <c r="L95" s="1" t="s">
        <v>22</v>
      </c>
    </row>
    <row r="96">
      <c r="A96" s="2">
        <v>46223.48307412037</v>
      </c>
      <c r="B96" s="1" t="s">
        <v>14</v>
      </c>
      <c r="C96" s="1" t="s">
        <v>129</v>
      </c>
      <c r="D96" s="1" t="s">
        <v>129</v>
      </c>
      <c r="E96" s="1" t="s">
        <v>16</v>
      </c>
      <c r="L96" s="1" t="s">
        <v>21</v>
      </c>
    </row>
    <row r="97">
      <c r="A97" s="2">
        <v>46223.4831447801</v>
      </c>
      <c r="B97" s="1" t="s">
        <v>14</v>
      </c>
      <c r="C97" s="1" t="s">
        <v>78</v>
      </c>
      <c r="D97" s="1" t="s">
        <v>78</v>
      </c>
      <c r="E97" s="1" t="s">
        <v>16</v>
      </c>
      <c r="F97" s="3">
        <v>0.98</v>
      </c>
      <c r="G97" s="1" t="s">
        <v>132</v>
      </c>
      <c r="H97" s="1" t="s">
        <v>18</v>
      </c>
      <c r="I97" s="1" t="s">
        <v>19</v>
      </c>
      <c r="J97" s="1" t="s">
        <v>133</v>
      </c>
      <c r="K97" s="3">
        <v>1.0</v>
      </c>
    </row>
    <row r="98">
      <c r="A98" s="2">
        <v>46223.48317851852</v>
      </c>
      <c r="B98" s="1" t="s">
        <v>14</v>
      </c>
      <c r="C98" s="1" t="s">
        <v>134</v>
      </c>
      <c r="D98" s="1" t="s">
        <v>134</v>
      </c>
      <c r="E98" s="1" t="s">
        <v>135</v>
      </c>
      <c r="F98" s="3">
        <v>0.99</v>
      </c>
      <c r="G98" s="1" t="s">
        <v>136</v>
      </c>
      <c r="H98" s="1" t="s">
        <v>18</v>
      </c>
      <c r="I98" s="1" t="s">
        <v>137</v>
      </c>
      <c r="J98" s="1" t="s">
        <v>138</v>
      </c>
      <c r="K98" s="3">
        <v>1.0</v>
      </c>
    </row>
    <row r="99">
      <c r="A99" s="2">
        <v>46223.48320253472</v>
      </c>
      <c r="B99" s="1" t="s">
        <v>14</v>
      </c>
      <c r="C99" s="1" t="s">
        <v>78</v>
      </c>
      <c r="D99" s="1" t="s">
        <v>78</v>
      </c>
      <c r="E99" s="1" t="s">
        <v>16</v>
      </c>
      <c r="L99" s="1" t="s">
        <v>21</v>
      </c>
    </row>
    <row r="100">
      <c r="A100" s="2">
        <v>46223.483236712964</v>
      </c>
      <c r="B100" s="1" t="s">
        <v>14</v>
      </c>
      <c r="C100" s="1" t="s">
        <v>134</v>
      </c>
      <c r="D100" s="1" t="s">
        <v>134</v>
      </c>
      <c r="E100" s="1" t="s">
        <v>135</v>
      </c>
      <c r="L100" s="1" t="s">
        <v>21</v>
      </c>
    </row>
    <row r="101">
      <c r="A101" s="2">
        <v>46223.483261284724</v>
      </c>
      <c r="B101" s="1" t="s">
        <v>14</v>
      </c>
      <c r="C101" s="1" t="s">
        <v>78</v>
      </c>
      <c r="D101" s="1" t="s">
        <v>78</v>
      </c>
      <c r="E101" s="1" t="s">
        <v>16</v>
      </c>
      <c r="L101" s="1" t="s">
        <v>22</v>
      </c>
    </row>
    <row r="102">
      <c r="A102" s="2">
        <v>46223.48329189815</v>
      </c>
      <c r="B102" s="1" t="s">
        <v>14</v>
      </c>
      <c r="C102" s="1" t="s">
        <v>134</v>
      </c>
      <c r="D102" s="1" t="s">
        <v>134</v>
      </c>
      <c r="E102" s="1" t="s">
        <v>135</v>
      </c>
      <c r="L102" s="1" t="s">
        <v>22</v>
      </c>
    </row>
    <row r="103">
      <c r="A103" s="2">
        <v>46223.483364976855</v>
      </c>
      <c r="B103" s="1" t="s">
        <v>14</v>
      </c>
      <c r="C103" s="1" t="s">
        <v>87</v>
      </c>
      <c r="D103" s="1" t="s">
        <v>87</v>
      </c>
      <c r="E103" s="1" t="s">
        <v>16</v>
      </c>
      <c r="F103" s="3">
        <v>0.95</v>
      </c>
      <c r="G103" s="1" t="s">
        <v>139</v>
      </c>
      <c r="H103" s="1" t="s">
        <v>18</v>
      </c>
      <c r="I103" s="1" t="s">
        <v>39</v>
      </c>
      <c r="J103" s="1" t="s">
        <v>140</v>
      </c>
      <c r="K103" s="3">
        <v>1.0</v>
      </c>
    </row>
    <row r="104">
      <c r="A104" s="2">
        <v>46223.48338925926</v>
      </c>
      <c r="B104" s="1" t="s">
        <v>14</v>
      </c>
      <c r="C104" s="1" t="s">
        <v>141</v>
      </c>
      <c r="D104" s="1" t="s">
        <v>141</v>
      </c>
      <c r="E104" s="1" t="s">
        <v>135</v>
      </c>
      <c r="F104" s="3">
        <v>0.98</v>
      </c>
      <c r="G104" s="1" t="s">
        <v>142</v>
      </c>
      <c r="H104" s="1" t="s">
        <v>18</v>
      </c>
      <c r="I104" s="1" t="s">
        <v>96</v>
      </c>
      <c r="J104" s="1" t="s">
        <v>143</v>
      </c>
      <c r="K104" s="3">
        <v>1.0</v>
      </c>
    </row>
    <row r="105">
      <c r="A105" s="2">
        <v>46223.48342171297</v>
      </c>
      <c r="B105" s="1" t="s">
        <v>14</v>
      </c>
      <c r="C105" s="1" t="s">
        <v>87</v>
      </c>
      <c r="D105" s="1" t="s">
        <v>87</v>
      </c>
      <c r="E105" s="1" t="s">
        <v>16</v>
      </c>
      <c r="L105" s="1" t="s">
        <v>21</v>
      </c>
    </row>
    <row r="106">
      <c r="A106" s="2">
        <v>46223.48346451389</v>
      </c>
      <c r="B106" s="1" t="s">
        <v>14</v>
      </c>
      <c r="C106" s="1" t="s">
        <v>141</v>
      </c>
      <c r="D106" s="1" t="s">
        <v>141</v>
      </c>
      <c r="E106" s="1" t="s">
        <v>135</v>
      </c>
      <c r="L106" s="1" t="s">
        <v>21</v>
      </c>
    </row>
    <row r="107">
      <c r="A107" s="2">
        <v>46223.483468391205</v>
      </c>
      <c r="B107" s="1" t="s">
        <v>14</v>
      </c>
      <c r="C107" s="1" t="s">
        <v>87</v>
      </c>
      <c r="D107" s="1" t="s">
        <v>87</v>
      </c>
      <c r="E107" s="1" t="s">
        <v>16</v>
      </c>
      <c r="L107" s="1" t="s">
        <v>22</v>
      </c>
    </row>
    <row r="108">
      <c r="A108" s="2">
        <v>46223.4835155787</v>
      </c>
      <c r="B108" s="1" t="s">
        <v>14</v>
      </c>
      <c r="C108" s="1" t="s">
        <v>141</v>
      </c>
      <c r="D108" s="1" t="s">
        <v>141</v>
      </c>
      <c r="E108" s="1" t="s">
        <v>135</v>
      </c>
      <c r="L108" s="1" t="s">
        <v>22</v>
      </c>
    </row>
    <row r="109">
      <c r="A109" s="2">
        <v>46223.4835863426</v>
      </c>
      <c r="B109" s="1" t="s">
        <v>14</v>
      </c>
      <c r="C109" s="1" t="s">
        <v>94</v>
      </c>
      <c r="D109" s="1" t="s">
        <v>94</v>
      </c>
      <c r="E109" s="1" t="s">
        <v>16</v>
      </c>
      <c r="F109" s="3">
        <v>0.98</v>
      </c>
      <c r="G109" s="1" t="s">
        <v>144</v>
      </c>
      <c r="H109" s="1" t="s">
        <v>18</v>
      </c>
      <c r="I109" s="1" t="s">
        <v>39</v>
      </c>
      <c r="J109" s="1" t="s">
        <v>145</v>
      </c>
      <c r="K109" s="3">
        <v>1.0</v>
      </c>
    </row>
    <row r="110">
      <c r="A110" s="2">
        <v>46223.48363149306</v>
      </c>
      <c r="B110" s="1" t="s">
        <v>14</v>
      </c>
      <c r="C110" s="1" t="s">
        <v>146</v>
      </c>
      <c r="D110" s="1" t="s">
        <v>146</v>
      </c>
      <c r="E110" s="1" t="s">
        <v>135</v>
      </c>
      <c r="F110" s="3">
        <v>0.95</v>
      </c>
      <c r="G110" s="1" t="s">
        <v>147</v>
      </c>
      <c r="H110" s="1" t="s">
        <v>18</v>
      </c>
      <c r="I110" s="1" t="s">
        <v>39</v>
      </c>
      <c r="J110" s="1" t="s">
        <v>148</v>
      </c>
      <c r="K110" s="3">
        <v>1.0</v>
      </c>
    </row>
    <row r="111">
      <c r="A111" s="2">
        <v>46223.483664988424</v>
      </c>
      <c r="B111" s="1" t="s">
        <v>14</v>
      </c>
      <c r="C111" s="1" t="s">
        <v>94</v>
      </c>
      <c r="D111" s="1" t="s">
        <v>94</v>
      </c>
      <c r="E111" s="1" t="s">
        <v>16</v>
      </c>
      <c r="L111" s="1" t="s">
        <v>21</v>
      </c>
    </row>
    <row r="112">
      <c r="A112" s="2">
        <v>46223.483696689815</v>
      </c>
      <c r="B112" s="1" t="s">
        <v>14</v>
      </c>
      <c r="C112" s="1" t="s">
        <v>146</v>
      </c>
      <c r="D112" s="1" t="s">
        <v>146</v>
      </c>
      <c r="E112" s="1" t="s">
        <v>135</v>
      </c>
      <c r="L112" s="1" t="s">
        <v>21</v>
      </c>
    </row>
    <row r="113">
      <c r="A113" s="2">
        <v>46223.483719525466</v>
      </c>
      <c r="B113" s="1" t="s">
        <v>14</v>
      </c>
      <c r="C113" s="1" t="s">
        <v>94</v>
      </c>
      <c r="D113" s="1" t="s">
        <v>94</v>
      </c>
      <c r="E113" s="1" t="s">
        <v>16</v>
      </c>
      <c r="L113" s="1" t="s">
        <v>22</v>
      </c>
    </row>
    <row r="114">
      <c r="A114" s="2">
        <v>46223.483760868054</v>
      </c>
      <c r="B114" s="1" t="s">
        <v>14</v>
      </c>
      <c r="C114" s="1" t="s">
        <v>146</v>
      </c>
      <c r="D114" s="1" t="s">
        <v>146</v>
      </c>
      <c r="E114" s="1" t="s">
        <v>135</v>
      </c>
      <c r="L114" s="1" t="s">
        <v>22</v>
      </c>
    </row>
    <row r="115">
      <c r="A115" s="2">
        <v>46223.48386530092</v>
      </c>
      <c r="B115" s="1" t="s">
        <v>14</v>
      </c>
      <c r="C115" s="1" t="s">
        <v>101</v>
      </c>
      <c r="D115" s="1" t="s">
        <v>101</v>
      </c>
      <c r="E115" s="1" t="s">
        <v>16</v>
      </c>
      <c r="F115" s="3">
        <v>0.98</v>
      </c>
      <c r="G115" s="1" t="s">
        <v>149</v>
      </c>
      <c r="H115" s="1" t="s">
        <v>18</v>
      </c>
      <c r="I115" s="1" t="s">
        <v>150</v>
      </c>
      <c r="J115" s="1" t="s">
        <v>151</v>
      </c>
      <c r="K115" s="3">
        <v>1.0</v>
      </c>
    </row>
    <row r="116">
      <c r="A116" s="2">
        <v>46223.48388076389</v>
      </c>
      <c r="B116" s="1" t="s">
        <v>14</v>
      </c>
      <c r="C116" s="1" t="s">
        <v>152</v>
      </c>
      <c r="D116" s="1" t="s">
        <v>152</v>
      </c>
      <c r="E116" s="1" t="s">
        <v>135</v>
      </c>
      <c r="F116" s="3">
        <v>0.95</v>
      </c>
      <c r="G116" s="1" t="s">
        <v>153</v>
      </c>
      <c r="H116" s="1" t="s">
        <v>18</v>
      </c>
      <c r="I116" s="1" t="s">
        <v>154</v>
      </c>
      <c r="J116" s="1" t="s">
        <v>155</v>
      </c>
      <c r="K116" s="3">
        <v>1.0</v>
      </c>
    </row>
    <row r="117">
      <c r="A117" s="2">
        <v>46223.48393486111</v>
      </c>
      <c r="B117" s="1" t="s">
        <v>14</v>
      </c>
      <c r="C117" s="1" t="s">
        <v>101</v>
      </c>
      <c r="D117" s="1" t="s">
        <v>101</v>
      </c>
      <c r="E117" s="1" t="s">
        <v>16</v>
      </c>
      <c r="L117" s="1" t="s">
        <v>21</v>
      </c>
    </row>
    <row r="118">
      <c r="A118" s="2">
        <v>46223.483952870374</v>
      </c>
      <c r="B118" s="1" t="s">
        <v>14</v>
      </c>
      <c r="C118" s="1" t="s">
        <v>152</v>
      </c>
      <c r="D118" s="1" t="s">
        <v>152</v>
      </c>
      <c r="E118" s="1" t="s">
        <v>135</v>
      </c>
      <c r="L118" s="1" t="s">
        <v>21</v>
      </c>
    </row>
    <row r="119">
      <c r="A119" s="2">
        <v>46223.483994953705</v>
      </c>
      <c r="B119" s="1" t="s">
        <v>14</v>
      </c>
      <c r="C119" s="1" t="s">
        <v>101</v>
      </c>
      <c r="D119" s="1" t="s">
        <v>101</v>
      </c>
      <c r="E119" s="1" t="s">
        <v>16</v>
      </c>
      <c r="L119" s="1" t="s">
        <v>22</v>
      </c>
    </row>
    <row r="120">
      <c r="A120" s="2">
        <v>46223.48403247685</v>
      </c>
      <c r="B120" s="1" t="s">
        <v>14</v>
      </c>
      <c r="C120" s="1" t="s">
        <v>152</v>
      </c>
      <c r="D120" s="1" t="s">
        <v>152</v>
      </c>
      <c r="E120" s="1" t="s">
        <v>135</v>
      </c>
      <c r="L120" s="1" t="s">
        <v>22</v>
      </c>
    </row>
    <row r="121">
      <c r="A121" s="2">
        <v>46223.48410262731</v>
      </c>
      <c r="B121" s="1" t="s">
        <v>14</v>
      </c>
      <c r="C121" s="1" t="s">
        <v>104</v>
      </c>
      <c r="D121" s="1" t="s">
        <v>104</v>
      </c>
      <c r="E121" s="1" t="s">
        <v>16</v>
      </c>
      <c r="F121" s="3">
        <v>0.95</v>
      </c>
      <c r="G121" s="1" t="s">
        <v>156</v>
      </c>
      <c r="H121" s="1" t="s">
        <v>18</v>
      </c>
      <c r="I121" s="1" t="s">
        <v>157</v>
      </c>
      <c r="J121" s="1" t="s">
        <v>158</v>
      </c>
      <c r="K121" s="3">
        <v>1.0</v>
      </c>
    </row>
    <row r="122">
      <c r="A122" s="2">
        <v>46223.48414166667</v>
      </c>
      <c r="B122" s="1" t="s">
        <v>14</v>
      </c>
      <c r="C122" s="1" t="s">
        <v>159</v>
      </c>
      <c r="D122" s="1" t="s">
        <v>160</v>
      </c>
      <c r="E122" s="1" t="s">
        <v>135</v>
      </c>
      <c r="F122" s="3">
        <v>0.99</v>
      </c>
      <c r="G122" s="1" t="s">
        <v>161</v>
      </c>
      <c r="H122" s="1" t="s">
        <v>18</v>
      </c>
      <c r="I122" s="1" t="s">
        <v>162</v>
      </c>
      <c r="J122" s="1" t="s">
        <v>163</v>
      </c>
      <c r="K122" s="3">
        <v>1.0</v>
      </c>
    </row>
    <row r="123">
      <c r="A123" s="2">
        <v>46223.48415509259</v>
      </c>
      <c r="B123" s="1" t="s">
        <v>14</v>
      </c>
      <c r="C123" s="1" t="s">
        <v>104</v>
      </c>
      <c r="D123" s="1" t="s">
        <v>104</v>
      </c>
      <c r="E123" s="1" t="s">
        <v>16</v>
      </c>
      <c r="L123" s="1" t="s">
        <v>21</v>
      </c>
    </row>
    <row r="124">
      <c r="A124" s="2">
        <v>46223.48419973379</v>
      </c>
      <c r="B124" s="1" t="s">
        <v>14</v>
      </c>
      <c r="C124" s="1" t="s">
        <v>159</v>
      </c>
      <c r="D124" s="1" t="s">
        <v>160</v>
      </c>
      <c r="E124" s="1" t="s">
        <v>135</v>
      </c>
      <c r="L124" s="1" t="s">
        <v>21</v>
      </c>
    </row>
    <row r="125">
      <c r="A125" s="2">
        <v>46223.484222812505</v>
      </c>
      <c r="B125" s="1" t="s">
        <v>14</v>
      </c>
      <c r="C125" s="1" t="s">
        <v>104</v>
      </c>
      <c r="D125" s="1" t="s">
        <v>104</v>
      </c>
      <c r="E125" s="1" t="s">
        <v>16</v>
      </c>
      <c r="L125" s="1" t="s">
        <v>22</v>
      </c>
    </row>
    <row r="126">
      <c r="A126" s="2">
        <v>46223.4842947338</v>
      </c>
      <c r="B126" s="1" t="s">
        <v>14</v>
      </c>
      <c r="C126" s="1" t="s">
        <v>159</v>
      </c>
      <c r="D126" s="1" t="s">
        <v>160</v>
      </c>
      <c r="E126" s="1" t="s">
        <v>135</v>
      </c>
      <c r="L126" s="1" t="s">
        <v>22</v>
      </c>
    </row>
    <row r="127">
      <c r="A127" s="2">
        <v>46223.48432915509</v>
      </c>
      <c r="B127" s="1" t="s">
        <v>14</v>
      </c>
      <c r="C127" s="1" t="s">
        <v>110</v>
      </c>
      <c r="D127" s="1" t="s">
        <v>110</v>
      </c>
      <c r="E127" s="1" t="s">
        <v>16</v>
      </c>
      <c r="F127" s="3">
        <v>0.98</v>
      </c>
      <c r="G127" s="1" t="s">
        <v>164</v>
      </c>
      <c r="H127" s="1" t="s">
        <v>18</v>
      </c>
      <c r="I127" s="1" t="s">
        <v>19</v>
      </c>
      <c r="J127" s="1" t="s">
        <v>165</v>
      </c>
      <c r="K127" s="3">
        <v>1.0</v>
      </c>
    </row>
    <row r="128">
      <c r="A128" s="2">
        <v>46223.484402974536</v>
      </c>
      <c r="B128" s="1" t="s">
        <v>14</v>
      </c>
      <c r="C128" s="1" t="s">
        <v>166</v>
      </c>
      <c r="D128" s="1" t="s">
        <v>166</v>
      </c>
      <c r="E128" s="1" t="s">
        <v>135</v>
      </c>
      <c r="F128" s="3">
        <v>0.95</v>
      </c>
      <c r="G128" s="1" t="s">
        <v>167</v>
      </c>
      <c r="H128" s="1" t="s">
        <v>18</v>
      </c>
      <c r="I128" s="1" t="s">
        <v>168</v>
      </c>
      <c r="J128" s="1" t="s">
        <v>169</v>
      </c>
      <c r="K128" s="3">
        <v>1.0</v>
      </c>
    </row>
    <row r="129">
      <c r="A129" s="2">
        <v>46223.484414074075</v>
      </c>
      <c r="B129" s="1" t="s">
        <v>14</v>
      </c>
      <c r="C129" s="1" t="s">
        <v>110</v>
      </c>
      <c r="D129" s="1" t="s">
        <v>110</v>
      </c>
      <c r="E129" s="1" t="s">
        <v>16</v>
      </c>
      <c r="L129" s="1" t="s">
        <v>21</v>
      </c>
    </row>
    <row r="130">
      <c r="A130" s="2">
        <v>46223.48446278935</v>
      </c>
      <c r="B130" s="1" t="s">
        <v>14</v>
      </c>
      <c r="C130" s="1" t="s">
        <v>166</v>
      </c>
      <c r="D130" s="1" t="s">
        <v>166</v>
      </c>
      <c r="E130" s="1" t="s">
        <v>135</v>
      </c>
      <c r="L130" s="1" t="s">
        <v>21</v>
      </c>
    </row>
    <row r="131">
      <c r="A131" s="2">
        <v>46223.48447354167</v>
      </c>
      <c r="B131" s="1" t="s">
        <v>14</v>
      </c>
      <c r="C131" s="1" t="s">
        <v>110</v>
      </c>
      <c r="D131" s="1" t="s">
        <v>110</v>
      </c>
      <c r="E131" s="1" t="s">
        <v>16</v>
      </c>
      <c r="L131" s="1" t="s">
        <v>22</v>
      </c>
    </row>
    <row r="132">
      <c r="A132" s="2">
        <v>46223.48451833334</v>
      </c>
      <c r="B132" s="1" t="s">
        <v>14</v>
      </c>
      <c r="C132" s="1" t="s">
        <v>166</v>
      </c>
      <c r="D132" s="1" t="s">
        <v>166</v>
      </c>
      <c r="E132" s="1" t="s">
        <v>135</v>
      </c>
      <c r="L132" s="1" t="s">
        <v>22</v>
      </c>
    </row>
    <row r="133">
      <c r="A133" s="2">
        <v>46223.48461111111</v>
      </c>
      <c r="B133" s="1" t="s">
        <v>14</v>
      </c>
      <c r="C133" s="1" t="s">
        <v>117</v>
      </c>
      <c r="D133" s="1" t="s">
        <v>117</v>
      </c>
      <c r="E133" s="1" t="s">
        <v>16</v>
      </c>
      <c r="F133" s="3">
        <v>0.95</v>
      </c>
      <c r="G133" s="1" t="s">
        <v>170</v>
      </c>
      <c r="H133" s="1" t="s">
        <v>18</v>
      </c>
      <c r="I133" s="1" t="s">
        <v>43</v>
      </c>
      <c r="J133" s="1" t="s">
        <v>171</v>
      </c>
      <c r="K133" s="3">
        <v>1.0</v>
      </c>
    </row>
    <row r="134">
      <c r="A134" s="2">
        <v>46223.48463928241</v>
      </c>
      <c r="B134" s="1" t="s">
        <v>14</v>
      </c>
      <c r="C134" s="1" t="s">
        <v>172</v>
      </c>
      <c r="D134" s="1" t="s">
        <v>172</v>
      </c>
      <c r="E134" s="1" t="s">
        <v>135</v>
      </c>
      <c r="F134" s="3">
        <v>0.98</v>
      </c>
      <c r="G134" s="1" t="s">
        <v>173</v>
      </c>
      <c r="H134" s="1" t="s">
        <v>18</v>
      </c>
      <c r="I134" s="1" t="s">
        <v>96</v>
      </c>
      <c r="J134" s="1" t="s">
        <v>174</v>
      </c>
      <c r="K134" s="3">
        <v>1.0</v>
      </c>
    </row>
    <row r="135">
      <c r="A135" s="2">
        <v>46223.48467236111</v>
      </c>
      <c r="B135" s="1" t="s">
        <v>14</v>
      </c>
      <c r="C135" s="1" t="s">
        <v>117</v>
      </c>
      <c r="D135" s="1" t="s">
        <v>117</v>
      </c>
      <c r="E135" s="1" t="s">
        <v>16</v>
      </c>
      <c r="L135" s="1" t="s">
        <v>21</v>
      </c>
    </row>
    <row r="136">
      <c r="A136" s="2">
        <v>46223.48470480324</v>
      </c>
      <c r="B136" s="1" t="s">
        <v>14</v>
      </c>
      <c r="C136" s="1" t="s">
        <v>172</v>
      </c>
      <c r="D136" s="1" t="s">
        <v>172</v>
      </c>
      <c r="E136" s="1" t="s">
        <v>135</v>
      </c>
      <c r="L136" s="1" t="s">
        <v>21</v>
      </c>
    </row>
    <row r="137">
      <c r="A137" s="2">
        <v>46223.484725752314</v>
      </c>
      <c r="B137" s="1" t="s">
        <v>14</v>
      </c>
      <c r="C137" s="1" t="s">
        <v>117</v>
      </c>
      <c r="D137" s="1" t="s">
        <v>117</v>
      </c>
      <c r="E137" s="1" t="s">
        <v>16</v>
      </c>
      <c r="L137" s="1" t="s">
        <v>22</v>
      </c>
    </row>
    <row r="138">
      <c r="A138" s="2">
        <v>46223.4847599537</v>
      </c>
      <c r="B138" s="1" t="s">
        <v>14</v>
      </c>
      <c r="C138" s="1" t="s">
        <v>172</v>
      </c>
      <c r="D138" s="1" t="s">
        <v>172</v>
      </c>
      <c r="E138" s="1" t="s">
        <v>135</v>
      </c>
      <c r="L138" s="1" t="s">
        <v>22</v>
      </c>
    </row>
    <row r="139">
      <c r="A139" s="2">
        <v>46223.48486789352</v>
      </c>
      <c r="B139" s="1" t="s">
        <v>14</v>
      </c>
      <c r="C139" s="1" t="s">
        <v>123</v>
      </c>
      <c r="D139" s="1" t="s">
        <v>123</v>
      </c>
      <c r="E139" s="1" t="s">
        <v>16</v>
      </c>
      <c r="F139" s="3">
        <v>0.95</v>
      </c>
      <c r="G139" s="1" t="s">
        <v>175</v>
      </c>
      <c r="H139" s="1" t="s">
        <v>18</v>
      </c>
      <c r="I139" s="1" t="s">
        <v>176</v>
      </c>
      <c r="J139" s="1" t="s">
        <v>177</v>
      </c>
      <c r="K139" s="3">
        <v>1.0</v>
      </c>
    </row>
    <row r="140">
      <c r="A140" s="2">
        <v>46223.48487403935</v>
      </c>
      <c r="B140" s="1" t="s">
        <v>14</v>
      </c>
      <c r="C140" s="1" t="s">
        <v>178</v>
      </c>
      <c r="D140" s="1" t="s">
        <v>178</v>
      </c>
      <c r="E140" s="1" t="s">
        <v>135</v>
      </c>
      <c r="F140" s="3">
        <v>0.9</v>
      </c>
      <c r="G140" s="1" t="s">
        <v>179</v>
      </c>
      <c r="H140" s="1" t="s">
        <v>18</v>
      </c>
      <c r="I140" s="1" t="s">
        <v>180</v>
      </c>
      <c r="J140" s="1" t="s">
        <v>181</v>
      </c>
      <c r="K140" s="3">
        <v>1.0</v>
      </c>
    </row>
    <row r="141">
      <c r="A141" s="2">
        <v>46223.484941608796</v>
      </c>
      <c r="B141" s="1" t="s">
        <v>14</v>
      </c>
      <c r="C141" s="1" t="s">
        <v>123</v>
      </c>
      <c r="D141" s="1" t="s">
        <v>123</v>
      </c>
      <c r="E141" s="1" t="s">
        <v>16</v>
      </c>
      <c r="L141" s="1" t="s">
        <v>21</v>
      </c>
    </row>
    <row r="142">
      <c r="A142" s="2">
        <v>46223.48495167824</v>
      </c>
      <c r="B142" s="1" t="s">
        <v>14</v>
      </c>
      <c r="C142" s="1" t="s">
        <v>178</v>
      </c>
      <c r="D142" s="1" t="s">
        <v>178</v>
      </c>
      <c r="E142" s="1" t="s">
        <v>135</v>
      </c>
      <c r="L142" s="1" t="s">
        <v>21</v>
      </c>
    </row>
    <row r="143">
      <c r="A143" s="2">
        <v>46223.48501266204</v>
      </c>
      <c r="B143" s="1" t="s">
        <v>14</v>
      </c>
      <c r="C143" s="1" t="s">
        <v>123</v>
      </c>
      <c r="D143" s="1" t="s">
        <v>123</v>
      </c>
      <c r="E143" s="1" t="s">
        <v>16</v>
      </c>
      <c r="L143" s="1" t="s">
        <v>22</v>
      </c>
    </row>
    <row r="144">
      <c r="A144" s="2">
        <v>46223.48502263889</v>
      </c>
      <c r="B144" s="1" t="s">
        <v>14</v>
      </c>
      <c r="C144" s="1" t="s">
        <v>178</v>
      </c>
      <c r="D144" s="1" t="s">
        <v>178</v>
      </c>
      <c r="E144" s="1" t="s">
        <v>135</v>
      </c>
      <c r="L144" s="1" t="s">
        <v>22</v>
      </c>
    </row>
    <row r="145">
      <c r="A145" s="2">
        <v>46223.485112905095</v>
      </c>
      <c r="B145" s="1" t="s">
        <v>14</v>
      </c>
      <c r="C145" s="1" t="s">
        <v>129</v>
      </c>
      <c r="D145" s="1" t="s">
        <v>129</v>
      </c>
      <c r="E145" s="1" t="s">
        <v>16</v>
      </c>
      <c r="F145" s="3">
        <v>0.95</v>
      </c>
      <c r="G145" s="1" t="s">
        <v>182</v>
      </c>
      <c r="H145" s="1" t="s">
        <v>18</v>
      </c>
      <c r="I145" s="1" t="s">
        <v>19</v>
      </c>
      <c r="J145" s="1" t="s">
        <v>183</v>
      </c>
      <c r="K145" s="3">
        <v>1.0</v>
      </c>
    </row>
    <row r="146">
      <c r="A146" s="2">
        <v>46223.4851527662</v>
      </c>
      <c r="B146" s="1" t="s">
        <v>14</v>
      </c>
      <c r="C146" s="1" t="s">
        <v>184</v>
      </c>
      <c r="D146" s="1" t="s">
        <v>184</v>
      </c>
      <c r="E146" s="1" t="s">
        <v>135</v>
      </c>
      <c r="F146" s="3">
        <v>0.92</v>
      </c>
      <c r="G146" s="1" t="s">
        <v>185</v>
      </c>
      <c r="H146" s="1" t="s">
        <v>18</v>
      </c>
      <c r="I146" s="1" t="s">
        <v>186</v>
      </c>
      <c r="J146" s="1" t="s">
        <v>187</v>
      </c>
      <c r="K146" s="3">
        <v>1.0</v>
      </c>
    </row>
    <row r="147">
      <c r="A147" s="2">
        <v>46223.485181944445</v>
      </c>
      <c r="B147" s="1" t="s">
        <v>14</v>
      </c>
      <c r="C147" s="1" t="s">
        <v>129</v>
      </c>
      <c r="D147" s="1" t="s">
        <v>129</v>
      </c>
      <c r="E147" s="1" t="s">
        <v>16</v>
      </c>
      <c r="L147" s="1" t="s">
        <v>21</v>
      </c>
    </row>
    <row r="148">
      <c r="A148" s="2">
        <v>46223.48520836806</v>
      </c>
      <c r="B148" s="1" t="s">
        <v>14</v>
      </c>
      <c r="C148" s="1" t="s">
        <v>184</v>
      </c>
      <c r="D148" s="1" t="s">
        <v>184</v>
      </c>
      <c r="E148" s="1" t="s">
        <v>135</v>
      </c>
      <c r="L148" s="1" t="s">
        <v>21</v>
      </c>
    </row>
    <row r="149">
      <c r="A149" s="2">
        <v>46223.48528508102</v>
      </c>
      <c r="B149" s="1" t="s">
        <v>14</v>
      </c>
      <c r="C149" s="1" t="s">
        <v>134</v>
      </c>
      <c r="D149" s="1" t="s">
        <v>134</v>
      </c>
      <c r="E149" s="1" t="s">
        <v>135</v>
      </c>
      <c r="F149" s="3">
        <v>0.98</v>
      </c>
      <c r="G149" s="1" t="s">
        <v>188</v>
      </c>
      <c r="H149" s="1" t="s">
        <v>18</v>
      </c>
      <c r="I149" s="1" t="s">
        <v>39</v>
      </c>
      <c r="J149" s="1" t="s">
        <v>189</v>
      </c>
      <c r="K149" s="3">
        <v>1.0</v>
      </c>
    </row>
    <row r="150">
      <c r="A150" s="2">
        <v>46223.48528815972</v>
      </c>
      <c r="B150" s="1" t="s">
        <v>14</v>
      </c>
      <c r="C150" s="1" t="s">
        <v>184</v>
      </c>
      <c r="D150" s="1" t="s">
        <v>184</v>
      </c>
      <c r="E150" s="1" t="s">
        <v>135</v>
      </c>
      <c r="L150" s="1" t="s">
        <v>22</v>
      </c>
    </row>
    <row r="151">
      <c r="A151" s="2">
        <v>46223.485340011575</v>
      </c>
      <c r="B151" s="1" t="s">
        <v>14</v>
      </c>
      <c r="C151" s="1" t="s">
        <v>134</v>
      </c>
      <c r="D151" s="1" t="s">
        <v>134</v>
      </c>
      <c r="E151" s="1" t="s">
        <v>135</v>
      </c>
      <c r="L151" s="1" t="s">
        <v>21</v>
      </c>
    </row>
    <row r="152">
      <c r="A152" s="2">
        <v>46223.48539434028</v>
      </c>
      <c r="B152" s="1" t="s">
        <v>14</v>
      </c>
      <c r="C152" s="1" t="s">
        <v>134</v>
      </c>
      <c r="D152" s="1" t="s">
        <v>134</v>
      </c>
      <c r="E152" s="1" t="s">
        <v>135</v>
      </c>
      <c r="L152" s="1" t="s">
        <v>22</v>
      </c>
    </row>
    <row r="153">
      <c r="A153" s="2">
        <v>46223.48550855324</v>
      </c>
      <c r="B153" s="1" t="s">
        <v>14</v>
      </c>
      <c r="C153" s="1" t="s">
        <v>190</v>
      </c>
      <c r="D153" s="1" t="s">
        <v>190</v>
      </c>
      <c r="E153" s="1" t="s">
        <v>16</v>
      </c>
      <c r="F153" s="3">
        <v>0.9</v>
      </c>
      <c r="G153" s="1" t="s">
        <v>191</v>
      </c>
      <c r="H153" s="1" t="s">
        <v>18</v>
      </c>
      <c r="I153" s="1" t="s">
        <v>19</v>
      </c>
      <c r="J153" s="1" t="s">
        <v>192</v>
      </c>
      <c r="K153" s="3">
        <v>1.0</v>
      </c>
    </row>
    <row r="154">
      <c r="A154" s="2">
        <v>46223.48554667824</v>
      </c>
      <c r="B154" s="1" t="s">
        <v>14</v>
      </c>
      <c r="C154" s="1" t="s">
        <v>146</v>
      </c>
      <c r="D154" s="1" t="s">
        <v>146</v>
      </c>
      <c r="E154" s="1" t="s">
        <v>135</v>
      </c>
      <c r="F154" s="3">
        <v>0.98</v>
      </c>
      <c r="G154" s="1" t="s">
        <v>193</v>
      </c>
      <c r="H154" s="1" t="s">
        <v>18</v>
      </c>
      <c r="I154" s="1" t="s">
        <v>194</v>
      </c>
      <c r="J154" s="1" t="s">
        <v>195</v>
      </c>
      <c r="K154" s="3">
        <v>1.0</v>
      </c>
    </row>
    <row r="155">
      <c r="A155" s="2">
        <v>46223.48559711805</v>
      </c>
      <c r="B155" s="1" t="s">
        <v>14</v>
      </c>
      <c r="C155" s="1" t="s">
        <v>190</v>
      </c>
      <c r="D155" s="1" t="s">
        <v>190</v>
      </c>
      <c r="E155" s="1" t="s">
        <v>16</v>
      </c>
      <c r="L155" s="1" t="s">
        <v>21</v>
      </c>
    </row>
    <row r="156">
      <c r="A156" s="2">
        <v>46223.48560863426</v>
      </c>
      <c r="B156" s="1" t="s">
        <v>14</v>
      </c>
      <c r="C156" s="1" t="s">
        <v>146</v>
      </c>
      <c r="D156" s="1" t="s">
        <v>146</v>
      </c>
      <c r="E156" s="1" t="s">
        <v>135</v>
      </c>
      <c r="L156" s="1" t="s">
        <v>21</v>
      </c>
    </row>
    <row r="157">
      <c r="A157" s="2">
        <v>46223.48565482639</v>
      </c>
      <c r="B157" s="1" t="s">
        <v>14</v>
      </c>
      <c r="C157" s="1" t="s">
        <v>190</v>
      </c>
      <c r="D157" s="1" t="s">
        <v>190</v>
      </c>
      <c r="E157" s="1" t="s">
        <v>16</v>
      </c>
      <c r="L157" s="1" t="s">
        <v>22</v>
      </c>
    </row>
    <row r="158">
      <c r="A158" s="2">
        <v>46223.48567061343</v>
      </c>
      <c r="B158" s="1" t="s">
        <v>14</v>
      </c>
      <c r="C158" s="1" t="s">
        <v>146</v>
      </c>
      <c r="D158" s="1" t="s">
        <v>146</v>
      </c>
      <c r="E158" s="1" t="s">
        <v>135</v>
      </c>
      <c r="L158" s="1" t="s">
        <v>22</v>
      </c>
    </row>
    <row r="159">
      <c r="A159" s="2">
        <v>46223.48576707176</v>
      </c>
      <c r="B159" s="1" t="s">
        <v>14</v>
      </c>
      <c r="C159" s="1" t="s">
        <v>196</v>
      </c>
      <c r="D159" s="1" t="s">
        <v>196</v>
      </c>
      <c r="E159" s="1" t="s">
        <v>135</v>
      </c>
      <c r="F159" s="3">
        <v>0.95</v>
      </c>
      <c r="G159" s="1" t="s">
        <v>197</v>
      </c>
      <c r="H159" s="1" t="s">
        <v>18</v>
      </c>
      <c r="I159" s="1" t="s">
        <v>186</v>
      </c>
      <c r="J159" s="1" t="s">
        <v>198</v>
      </c>
      <c r="K159" s="3">
        <v>1.0</v>
      </c>
    </row>
    <row r="160">
      <c r="A160" s="2">
        <v>46223.48577324074</v>
      </c>
      <c r="B160" s="1" t="s">
        <v>14</v>
      </c>
      <c r="C160" s="1" t="s">
        <v>152</v>
      </c>
      <c r="D160" s="1" t="s">
        <v>152</v>
      </c>
      <c r="E160" s="1" t="s">
        <v>135</v>
      </c>
      <c r="F160" s="3">
        <v>0.99</v>
      </c>
      <c r="G160" s="1" t="s">
        <v>199</v>
      </c>
      <c r="H160" s="1" t="s">
        <v>18</v>
      </c>
      <c r="I160" s="1" t="s">
        <v>200</v>
      </c>
      <c r="J160" s="1" t="s">
        <v>201</v>
      </c>
      <c r="K160" s="3">
        <v>1.0</v>
      </c>
    </row>
    <row r="161">
      <c r="A161" s="2">
        <v>46223.48584105324</v>
      </c>
      <c r="B161" s="1" t="s">
        <v>14</v>
      </c>
      <c r="C161" s="1" t="s">
        <v>196</v>
      </c>
      <c r="D161" s="1" t="s">
        <v>196</v>
      </c>
      <c r="E161" s="1" t="s">
        <v>135</v>
      </c>
      <c r="L161" s="1" t="s">
        <v>21</v>
      </c>
    </row>
    <row r="162">
      <c r="A162" s="2">
        <v>46223.485841875</v>
      </c>
      <c r="B162" s="1" t="s">
        <v>14</v>
      </c>
      <c r="C162" s="1" t="s">
        <v>152</v>
      </c>
      <c r="D162" s="1" t="s">
        <v>152</v>
      </c>
      <c r="E162" s="1" t="s">
        <v>135</v>
      </c>
      <c r="L162" s="1" t="s">
        <v>21</v>
      </c>
    </row>
    <row r="163">
      <c r="A163" s="2">
        <v>46223.485896412036</v>
      </c>
      <c r="B163" s="1" t="s">
        <v>14</v>
      </c>
      <c r="C163" s="1" t="s">
        <v>196</v>
      </c>
      <c r="D163" s="1" t="s">
        <v>196</v>
      </c>
      <c r="E163" s="1" t="s">
        <v>135</v>
      </c>
      <c r="L163" s="1" t="s">
        <v>22</v>
      </c>
    </row>
    <row r="164">
      <c r="A164" s="2">
        <v>46223.48590046296</v>
      </c>
      <c r="B164" s="1" t="s">
        <v>14</v>
      </c>
      <c r="C164" s="1" t="s">
        <v>152</v>
      </c>
      <c r="D164" s="1" t="s">
        <v>152</v>
      </c>
      <c r="E164" s="1" t="s">
        <v>135</v>
      </c>
      <c r="L164" s="1" t="s">
        <v>22</v>
      </c>
    </row>
    <row r="165">
      <c r="A165" s="2">
        <v>46223.48602282407</v>
      </c>
      <c r="B165" s="1" t="s">
        <v>14</v>
      </c>
      <c r="C165" s="1" t="s">
        <v>159</v>
      </c>
      <c r="D165" s="1" t="s">
        <v>160</v>
      </c>
      <c r="E165" s="1" t="s">
        <v>135</v>
      </c>
      <c r="F165" s="3">
        <v>0.99</v>
      </c>
      <c r="G165" s="1" t="s">
        <v>202</v>
      </c>
      <c r="H165" s="1" t="s">
        <v>18</v>
      </c>
      <c r="I165" s="1" t="s">
        <v>203</v>
      </c>
      <c r="J165" s="1" t="s">
        <v>204</v>
      </c>
      <c r="K165" s="3">
        <v>1.0</v>
      </c>
    </row>
    <row r="166">
      <c r="A166" s="2">
        <v>46223.48604217592</v>
      </c>
      <c r="B166" s="1" t="s">
        <v>14</v>
      </c>
      <c r="C166" s="1" t="s">
        <v>205</v>
      </c>
      <c r="D166" s="1" t="s">
        <v>205</v>
      </c>
      <c r="E166" s="1" t="s">
        <v>135</v>
      </c>
      <c r="F166" s="3">
        <v>0.96</v>
      </c>
      <c r="G166" s="1" t="s">
        <v>206</v>
      </c>
      <c r="H166" s="1" t="s">
        <v>18</v>
      </c>
      <c r="I166" s="1" t="s">
        <v>207</v>
      </c>
      <c r="J166" s="1" t="s">
        <v>208</v>
      </c>
      <c r="K166" s="3">
        <v>1.0</v>
      </c>
    </row>
    <row r="167">
      <c r="A167" s="2">
        <v>46223.48609303241</v>
      </c>
      <c r="B167" s="1" t="s">
        <v>14</v>
      </c>
      <c r="C167" s="1" t="s">
        <v>159</v>
      </c>
      <c r="D167" s="1" t="s">
        <v>160</v>
      </c>
      <c r="E167" s="1" t="s">
        <v>135</v>
      </c>
      <c r="L167" s="1" t="s">
        <v>21</v>
      </c>
    </row>
    <row r="168">
      <c r="A168" s="2">
        <v>46223.48615773148</v>
      </c>
      <c r="B168" s="1" t="s">
        <v>14</v>
      </c>
      <c r="C168" s="1" t="s">
        <v>159</v>
      </c>
      <c r="D168" s="1" t="s">
        <v>160</v>
      </c>
      <c r="E168" s="1" t="s">
        <v>135</v>
      </c>
      <c r="L168" s="1" t="s">
        <v>22</v>
      </c>
    </row>
    <row r="169">
      <c r="A169" s="2">
        <v>46223.48617556713</v>
      </c>
      <c r="B169" s="1" t="s">
        <v>14</v>
      </c>
      <c r="C169" s="1" t="s">
        <v>205</v>
      </c>
      <c r="D169" s="1" t="s">
        <v>205</v>
      </c>
      <c r="E169" s="1" t="s">
        <v>135</v>
      </c>
      <c r="L169" s="1" t="s">
        <v>21</v>
      </c>
    </row>
    <row r="170">
      <c r="A170" s="2">
        <v>46223.48624884259</v>
      </c>
      <c r="B170" s="1" t="s">
        <v>14</v>
      </c>
      <c r="C170" s="1" t="s">
        <v>205</v>
      </c>
      <c r="D170" s="1" t="s">
        <v>205</v>
      </c>
      <c r="E170" s="1" t="s">
        <v>135</v>
      </c>
      <c r="L170" s="1" t="s">
        <v>22</v>
      </c>
    </row>
    <row r="171">
      <c r="A171" s="2">
        <v>46223.48626773148</v>
      </c>
      <c r="B171" s="1" t="s">
        <v>14</v>
      </c>
      <c r="C171" s="1" t="s">
        <v>166</v>
      </c>
      <c r="D171" s="1" t="s">
        <v>166</v>
      </c>
      <c r="E171" s="1" t="s">
        <v>135</v>
      </c>
      <c r="F171" s="3">
        <v>0.95</v>
      </c>
      <c r="G171" s="1" t="s">
        <v>209</v>
      </c>
      <c r="H171" s="1" t="s">
        <v>18</v>
      </c>
      <c r="I171" s="1" t="s">
        <v>210</v>
      </c>
      <c r="J171" s="1" t="s">
        <v>211</v>
      </c>
      <c r="K171" s="3">
        <v>1.0</v>
      </c>
    </row>
    <row r="172">
      <c r="A172" s="2">
        <v>46223.48639439815</v>
      </c>
      <c r="B172" s="1" t="s">
        <v>14</v>
      </c>
      <c r="C172" s="1" t="s">
        <v>166</v>
      </c>
      <c r="D172" s="1" t="s">
        <v>166</v>
      </c>
      <c r="E172" s="1" t="s">
        <v>135</v>
      </c>
      <c r="L172" s="1" t="s">
        <v>21</v>
      </c>
    </row>
    <row r="173">
      <c r="A173" s="2">
        <v>46223.486410833335</v>
      </c>
      <c r="B173" s="1" t="s">
        <v>14</v>
      </c>
      <c r="C173" s="1" t="s">
        <v>212</v>
      </c>
      <c r="D173" s="1" t="s">
        <v>212</v>
      </c>
      <c r="E173" s="1" t="s">
        <v>213</v>
      </c>
      <c r="F173" s="3">
        <v>0.8</v>
      </c>
      <c r="G173" s="1" t="s">
        <v>214</v>
      </c>
      <c r="H173" s="1" t="s">
        <v>18</v>
      </c>
      <c r="I173" s="1" t="s">
        <v>19</v>
      </c>
      <c r="J173" s="1" t="s">
        <v>215</v>
      </c>
      <c r="K173" s="3">
        <v>1.0</v>
      </c>
    </row>
    <row r="174">
      <c r="A174" s="2">
        <v>46223.486460995366</v>
      </c>
      <c r="B174" s="1" t="s">
        <v>14</v>
      </c>
      <c r="C174" s="1" t="s">
        <v>166</v>
      </c>
      <c r="D174" s="1" t="s">
        <v>166</v>
      </c>
      <c r="E174" s="1" t="s">
        <v>135</v>
      </c>
      <c r="L174" s="1" t="s">
        <v>22</v>
      </c>
    </row>
    <row r="175">
      <c r="A175" s="2">
        <v>46223.486471875</v>
      </c>
      <c r="B175" s="1" t="s">
        <v>14</v>
      </c>
      <c r="C175" s="1" t="s">
        <v>212</v>
      </c>
      <c r="D175" s="1" t="s">
        <v>212</v>
      </c>
      <c r="E175" s="1" t="s">
        <v>213</v>
      </c>
      <c r="L175" s="1" t="s">
        <v>21</v>
      </c>
    </row>
    <row r="176">
      <c r="A176" s="2">
        <v>46223.48653846065</v>
      </c>
      <c r="B176" s="1" t="s">
        <v>14</v>
      </c>
      <c r="C176" s="1" t="s">
        <v>212</v>
      </c>
      <c r="D176" s="1" t="s">
        <v>212</v>
      </c>
      <c r="E176" s="1" t="s">
        <v>213</v>
      </c>
      <c r="L176" s="1" t="s">
        <v>22</v>
      </c>
    </row>
    <row r="177">
      <c r="A177" s="2">
        <v>46223.4865562037</v>
      </c>
      <c r="B177" s="1" t="s">
        <v>14</v>
      </c>
      <c r="C177" s="1" t="s">
        <v>172</v>
      </c>
      <c r="D177" s="1" t="s">
        <v>172</v>
      </c>
      <c r="E177" s="1" t="s">
        <v>135</v>
      </c>
      <c r="F177" s="3">
        <v>0.98</v>
      </c>
      <c r="G177" s="1" t="s">
        <v>216</v>
      </c>
      <c r="H177" s="1" t="s">
        <v>18</v>
      </c>
      <c r="I177" s="1" t="s">
        <v>210</v>
      </c>
      <c r="J177" s="1" t="s">
        <v>217</v>
      </c>
      <c r="K177" s="3">
        <v>1.0</v>
      </c>
    </row>
    <row r="178">
      <c r="A178" s="2">
        <v>46223.48661601852</v>
      </c>
      <c r="B178" s="1" t="s">
        <v>14</v>
      </c>
      <c r="C178" s="1" t="s">
        <v>172</v>
      </c>
      <c r="D178" s="1" t="s">
        <v>172</v>
      </c>
      <c r="E178" s="1" t="s">
        <v>135</v>
      </c>
      <c r="L178" s="1" t="s">
        <v>21</v>
      </c>
    </row>
    <row r="179">
      <c r="A179" s="2">
        <v>46223.48664415509</v>
      </c>
      <c r="B179" s="1" t="s">
        <v>14</v>
      </c>
      <c r="C179" s="1" t="s">
        <v>218</v>
      </c>
      <c r="D179" s="1" t="s">
        <v>218</v>
      </c>
      <c r="E179" s="1" t="s">
        <v>135</v>
      </c>
      <c r="F179" s="3">
        <v>0.95</v>
      </c>
      <c r="G179" s="1" t="s">
        <v>219</v>
      </c>
      <c r="H179" s="1" t="s">
        <v>18</v>
      </c>
      <c r="I179" s="1" t="s">
        <v>19</v>
      </c>
      <c r="J179" s="1" t="s">
        <v>220</v>
      </c>
      <c r="K179" s="3">
        <v>1.0</v>
      </c>
    </row>
    <row r="180">
      <c r="A180" s="2">
        <v>46223.48666241898</v>
      </c>
      <c r="B180" s="1" t="s">
        <v>14</v>
      </c>
      <c r="C180" s="1" t="s">
        <v>172</v>
      </c>
      <c r="D180" s="1" t="s">
        <v>172</v>
      </c>
      <c r="E180" s="1" t="s">
        <v>135</v>
      </c>
      <c r="L180" s="1" t="s">
        <v>22</v>
      </c>
    </row>
    <row r="181">
      <c r="A181" s="2">
        <v>46223.48669775463</v>
      </c>
      <c r="B181" s="1" t="s">
        <v>14</v>
      </c>
      <c r="C181" s="1" t="s">
        <v>218</v>
      </c>
      <c r="D181" s="1" t="s">
        <v>218</v>
      </c>
      <c r="E181" s="1" t="s">
        <v>135</v>
      </c>
      <c r="L181" s="1" t="s">
        <v>21</v>
      </c>
    </row>
    <row r="182">
      <c r="A182" s="2">
        <v>46223.48678049768</v>
      </c>
      <c r="B182" s="1" t="s">
        <v>14</v>
      </c>
      <c r="C182" s="1" t="s">
        <v>178</v>
      </c>
      <c r="D182" s="1" t="s">
        <v>178</v>
      </c>
      <c r="E182" s="1" t="s">
        <v>135</v>
      </c>
      <c r="F182" s="3">
        <v>0.9</v>
      </c>
      <c r="G182" s="1" t="s">
        <v>221</v>
      </c>
      <c r="H182" s="1" t="s">
        <v>18</v>
      </c>
      <c r="I182" s="1" t="s">
        <v>222</v>
      </c>
      <c r="J182" s="1" t="s">
        <v>223</v>
      </c>
      <c r="K182" s="3">
        <v>1.0</v>
      </c>
    </row>
    <row r="183">
      <c r="A183" s="2">
        <v>46223.48679886574</v>
      </c>
      <c r="B183" s="1" t="s">
        <v>14</v>
      </c>
      <c r="C183" s="1" t="s">
        <v>218</v>
      </c>
      <c r="D183" s="1" t="s">
        <v>218</v>
      </c>
      <c r="E183" s="1" t="s">
        <v>135</v>
      </c>
      <c r="L183" s="1" t="s">
        <v>22</v>
      </c>
    </row>
    <row r="184">
      <c r="A184" s="2">
        <v>46223.486848726854</v>
      </c>
      <c r="B184" s="1" t="s">
        <v>14</v>
      </c>
      <c r="C184" s="1" t="s">
        <v>178</v>
      </c>
      <c r="D184" s="1" t="s">
        <v>178</v>
      </c>
      <c r="E184" s="1" t="s">
        <v>135</v>
      </c>
      <c r="L184" s="1" t="s">
        <v>21</v>
      </c>
    </row>
    <row r="185">
      <c r="A185" s="2">
        <v>46223.48691717593</v>
      </c>
      <c r="B185" s="1" t="s">
        <v>14</v>
      </c>
      <c r="C185" s="1" t="s">
        <v>224</v>
      </c>
      <c r="D185" s="1" t="s">
        <v>224</v>
      </c>
      <c r="E185" s="1" t="s">
        <v>135</v>
      </c>
      <c r="F185" s="3">
        <v>0.95</v>
      </c>
      <c r="G185" s="1" t="s">
        <v>225</v>
      </c>
      <c r="H185" s="1" t="s">
        <v>18</v>
      </c>
      <c r="I185" s="1" t="s">
        <v>226</v>
      </c>
      <c r="J185" s="1" t="s">
        <v>227</v>
      </c>
      <c r="K185" s="3">
        <v>1.0</v>
      </c>
    </row>
    <row r="186">
      <c r="A186" s="2">
        <v>46223.486947557874</v>
      </c>
      <c r="B186" s="1" t="s">
        <v>14</v>
      </c>
      <c r="C186" s="1" t="s">
        <v>178</v>
      </c>
      <c r="D186" s="1" t="s">
        <v>178</v>
      </c>
      <c r="E186" s="1" t="s">
        <v>135</v>
      </c>
      <c r="L186" s="1" t="s">
        <v>22</v>
      </c>
    </row>
    <row r="187">
      <c r="A187" s="2">
        <v>46223.486996273146</v>
      </c>
      <c r="B187" s="1" t="s">
        <v>14</v>
      </c>
      <c r="C187" s="1" t="s">
        <v>224</v>
      </c>
      <c r="D187" s="1" t="s">
        <v>224</v>
      </c>
      <c r="E187" s="1" t="s">
        <v>135</v>
      </c>
      <c r="L187" s="1" t="s">
        <v>21</v>
      </c>
    </row>
    <row r="188">
      <c r="A188" s="2">
        <v>46223.48707204861</v>
      </c>
      <c r="B188" s="1" t="s">
        <v>14</v>
      </c>
      <c r="C188" s="1" t="s">
        <v>224</v>
      </c>
      <c r="D188" s="1" t="s">
        <v>224</v>
      </c>
      <c r="E188" s="1" t="s">
        <v>135</v>
      </c>
      <c r="L188" s="1" t="s">
        <v>22</v>
      </c>
    </row>
    <row r="189">
      <c r="A189" s="2">
        <v>46223.48707261574</v>
      </c>
      <c r="B189" s="1" t="s">
        <v>14</v>
      </c>
      <c r="C189" s="1" t="s">
        <v>184</v>
      </c>
      <c r="D189" s="1" t="s">
        <v>184</v>
      </c>
      <c r="E189" s="1" t="s">
        <v>135</v>
      </c>
      <c r="F189" s="3">
        <v>0.9</v>
      </c>
      <c r="G189" s="1" t="s">
        <v>228</v>
      </c>
      <c r="H189" s="1" t="s">
        <v>18</v>
      </c>
      <c r="I189" s="1" t="s">
        <v>229</v>
      </c>
      <c r="J189" s="1" t="s">
        <v>230</v>
      </c>
      <c r="K189" s="3">
        <v>1.0</v>
      </c>
    </row>
    <row r="190">
      <c r="A190" s="2">
        <v>46223.48728446759</v>
      </c>
      <c r="B190" s="1" t="s">
        <v>14</v>
      </c>
      <c r="C190" s="1" t="s">
        <v>196</v>
      </c>
      <c r="D190" s="1" t="s">
        <v>196</v>
      </c>
      <c r="E190" s="1" t="s">
        <v>135</v>
      </c>
      <c r="F190" s="3">
        <v>0.95</v>
      </c>
      <c r="G190" s="1" t="s">
        <v>231</v>
      </c>
      <c r="H190" s="1" t="s">
        <v>18</v>
      </c>
      <c r="I190" s="1" t="s">
        <v>39</v>
      </c>
      <c r="J190" s="1" t="s">
        <v>232</v>
      </c>
      <c r="K190" s="3">
        <v>1.0</v>
      </c>
    </row>
    <row r="191">
      <c r="A191" s="2">
        <v>46223.48744053241</v>
      </c>
      <c r="B191" s="1" t="s">
        <v>14</v>
      </c>
      <c r="C191" s="1" t="s">
        <v>196</v>
      </c>
      <c r="D191" s="1" t="s">
        <v>196</v>
      </c>
      <c r="E191" s="1" t="s">
        <v>135</v>
      </c>
      <c r="L191" s="1" t="s">
        <v>21</v>
      </c>
    </row>
    <row r="192">
      <c r="A192" s="2">
        <v>46223.48747118056</v>
      </c>
      <c r="B192" s="1" t="s">
        <v>14</v>
      </c>
      <c r="C192" s="1" t="s">
        <v>233</v>
      </c>
      <c r="D192" s="1" t="s">
        <v>233</v>
      </c>
      <c r="E192" s="1" t="s">
        <v>234</v>
      </c>
      <c r="F192" s="3">
        <v>0.98</v>
      </c>
      <c r="G192" s="1" t="s">
        <v>235</v>
      </c>
      <c r="H192" s="1" t="s">
        <v>18</v>
      </c>
      <c r="I192" s="1" t="s">
        <v>32</v>
      </c>
      <c r="J192" s="1" t="s">
        <v>236</v>
      </c>
      <c r="K192" s="3">
        <v>1.0</v>
      </c>
    </row>
    <row r="193">
      <c r="A193" s="2">
        <v>46223.48750027778</v>
      </c>
      <c r="B193" s="1" t="s">
        <v>14</v>
      </c>
      <c r="C193" s="1" t="s">
        <v>196</v>
      </c>
      <c r="D193" s="1" t="s">
        <v>196</v>
      </c>
      <c r="E193" s="1" t="s">
        <v>135</v>
      </c>
      <c r="L193" s="1" t="s">
        <v>22</v>
      </c>
    </row>
    <row r="194">
      <c r="A194" s="2">
        <v>46223.48760664352</v>
      </c>
      <c r="B194" s="1" t="s">
        <v>14</v>
      </c>
      <c r="C194" s="1" t="s">
        <v>205</v>
      </c>
      <c r="D194" s="1" t="s">
        <v>205</v>
      </c>
      <c r="E194" s="1" t="s">
        <v>135</v>
      </c>
      <c r="F194" s="3">
        <v>0.95</v>
      </c>
      <c r="G194" s="1" t="s">
        <v>237</v>
      </c>
      <c r="H194" s="1" t="s">
        <v>18</v>
      </c>
      <c r="I194" s="1" t="s">
        <v>207</v>
      </c>
      <c r="J194" s="1" t="s">
        <v>238</v>
      </c>
      <c r="K194" s="3">
        <v>1.0</v>
      </c>
    </row>
    <row r="195">
      <c r="A195" s="2">
        <v>46223.48768075231</v>
      </c>
      <c r="B195" s="1" t="s">
        <v>14</v>
      </c>
      <c r="C195" s="1" t="s">
        <v>205</v>
      </c>
      <c r="D195" s="1" t="s">
        <v>205</v>
      </c>
      <c r="E195" s="1" t="s">
        <v>135</v>
      </c>
      <c r="L195" s="1" t="s">
        <v>21</v>
      </c>
    </row>
    <row r="196">
      <c r="A196" s="2">
        <v>46223.487757696756</v>
      </c>
      <c r="B196" s="1" t="s">
        <v>14</v>
      </c>
      <c r="C196" s="1" t="s">
        <v>239</v>
      </c>
      <c r="D196" s="1" t="s">
        <v>239</v>
      </c>
      <c r="E196" s="1" t="s">
        <v>234</v>
      </c>
      <c r="F196" s="3">
        <v>0.95</v>
      </c>
      <c r="G196" s="1" t="s">
        <v>240</v>
      </c>
      <c r="H196" s="1" t="s">
        <v>18</v>
      </c>
      <c r="J196" s="1" t="s">
        <v>241</v>
      </c>
      <c r="K196" s="3">
        <v>1.0</v>
      </c>
    </row>
    <row r="197">
      <c r="A197" s="2">
        <v>46223.48781875</v>
      </c>
      <c r="B197" s="1" t="s">
        <v>14</v>
      </c>
      <c r="C197" s="1" t="s">
        <v>205</v>
      </c>
      <c r="D197" s="1" t="s">
        <v>205</v>
      </c>
      <c r="E197" s="1" t="s">
        <v>135</v>
      </c>
      <c r="L197" s="1" t="s">
        <v>22</v>
      </c>
    </row>
    <row r="198">
      <c r="A198" s="2">
        <v>46223.48789523148</v>
      </c>
      <c r="B198" s="1" t="s">
        <v>14</v>
      </c>
      <c r="C198" s="1" t="s">
        <v>242</v>
      </c>
      <c r="D198" s="1" t="s">
        <v>242</v>
      </c>
      <c r="E198" s="1" t="s">
        <v>234</v>
      </c>
      <c r="F198" s="3">
        <v>0.95</v>
      </c>
      <c r="G198" s="1" t="s">
        <v>243</v>
      </c>
      <c r="H198" s="1" t="s">
        <v>18</v>
      </c>
      <c r="I198" s="1" t="s">
        <v>244</v>
      </c>
      <c r="J198" s="1" t="s">
        <v>245</v>
      </c>
      <c r="K198" s="3">
        <v>1.0</v>
      </c>
    </row>
    <row r="199">
      <c r="A199" s="2">
        <v>46223.487988506946</v>
      </c>
      <c r="B199" s="1" t="s">
        <v>14</v>
      </c>
      <c r="C199" s="1" t="s">
        <v>212</v>
      </c>
      <c r="D199" s="1" t="s">
        <v>212</v>
      </c>
      <c r="E199" s="1" t="s">
        <v>135</v>
      </c>
      <c r="F199" s="3">
        <v>0.8</v>
      </c>
      <c r="G199" s="1" t="s">
        <v>246</v>
      </c>
      <c r="H199" s="1" t="s">
        <v>18</v>
      </c>
      <c r="I199" s="1" t="s">
        <v>19</v>
      </c>
      <c r="J199" s="1" t="s">
        <v>247</v>
      </c>
      <c r="K199" s="3">
        <v>1.0</v>
      </c>
    </row>
    <row r="200">
      <c r="A200" s="2">
        <v>46223.48805231482</v>
      </c>
      <c r="B200" s="1" t="s">
        <v>14</v>
      </c>
      <c r="C200" s="1" t="s">
        <v>212</v>
      </c>
      <c r="D200" s="1" t="s">
        <v>212</v>
      </c>
      <c r="E200" s="1" t="s">
        <v>135</v>
      </c>
      <c r="L200" s="1" t="s">
        <v>21</v>
      </c>
    </row>
    <row r="201">
      <c r="A201" s="2">
        <v>46223.488058773146</v>
      </c>
      <c r="B201" s="1" t="s">
        <v>14</v>
      </c>
      <c r="C201" s="1" t="s">
        <v>248</v>
      </c>
      <c r="D201" s="1" t="s">
        <v>248</v>
      </c>
      <c r="E201" s="1" t="s">
        <v>234</v>
      </c>
      <c r="F201" s="3">
        <v>0.95</v>
      </c>
      <c r="G201" s="1" t="s">
        <v>249</v>
      </c>
      <c r="H201" s="1" t="s">
        <v>18</v>
      </c>
      <c r="I201" s="1" t="s">
        <v>250</v>
      </c>
      <c r="J201" s="1" t="s">
        <v>251</v>
      </c>
      <c r="K201" s="3">
        <v>1.0</v>
      </c>
    </row>
    <row r="202">
      <c r="A202" s="2">
        <v>46223.48810771991</v>
      </c>
      <c r="B202" s="1" t="s">
        <v>14</v>
      </c>
      <c r="C202" s="1" t="s">
        <v>212</v>
      </c>
      <c r="D202" s="1" t="s">
        <v>212</v>
      </c>
      <c r="E202" s="1" t="s">
        <v>135</v>
      </c>
      <c r="L202" s="1" t="s">
        <v>22</v>
      </c>
    </row>
    <row r="203">
      <c r="A203" s="2">
        <v>46223.48818663195</v>
      </c>
      <c r="B203" s="1" t="s">
        <v>14</v>
      </c>
      <c r="C203" s="1" t="s">
        <v>252</v>
      </c>
      <c r="D203" s="1" t="s">
        <v>252</v>
      </c>
      <c r="E203" s="1" t="s">
        <v>234</v>
      </c>
      <c r="F203" s="3">
        <v>0.95</v>
      </c>
      <c r="G203" s="1" t="s">
        <v>253</v>
      </c>
      <c r="H203" s="1" t="s">
        <v>18</v>
      </c>
      <c r="I203" s="1" t="s">
        <v>254</v>
      </c>
      <c r="J203" s="1" t="s">
        <v>255</v>
      </c>
      <c r="K203" s="3">
        <v>1.0</v>
      </c>
    </row>
    <row r="204">
      <c r="A204" s="2">
        <v>46223.488224976856</v>
      </c>
      <c r="B204" s="1" t="s">
        <v>14</v>
      </c>
      <c r="C204" s="1" t="s">
        <v>218</v>
      </c>
      <c r="D204" s="1" t="s">
        <v>218</v>
      </c>
      <c r="E204" s="1" t="s">
        <v>135</v>
      </c>
      <c r="F204" s="3">
        <v>0.95</v>
      </c>
      <c r="G204" s="1" t="s">
        <v>256</v>
      </c>
      <c r="H204" s="1" t="s">
        <v>18</v>
      </c>
      <c r="I204" s="1" t="s">
        <v>19</v>
      </c>
      <c r="J204" s="1" t="s">
        <v>257</v>
      </c>
      <c r="K204" s="3">
        <v>1.0</v>
      </c>
    </row>
    <row r="205">
      <c r="A205" s="2">
        <v>46223.48827972222</v>
      </c>
      <c r="B205" s="1" t="s">
        <v>14</v>
      </c>
      <c r="C205" s="1" t="s">
        <v>218</v>
      </c>
      <c r="D205" s="1" t="s">
        <v>218</v>
      </c>
      <c r="E205" s="1" t="s">
        <v>135</v>
      </c>
      <c r="L205" s="1" t="s">
        <v>21</v>
      </c>
    </row>
    <row r="206">
      <c r="A206" s="2">
        <v>46223.488309050925</v>
      </c>
      <c r="B206" s="1" t="s">
        <v>14</v>
      </c>
      <c r="C206" s="1" t="s">
        <v>258</v>
      </c>
      <c r="D206" s="1" t="s">
        <v>258</v>
      </c>
      <c r="E206" s="1" t="s">
        <v>234</v>
      </c>
      <c r="F206" s="3">
        <v>0.98</v>
      </c>
      <c r="G206" s="1" t="s">
        <v>259</v>
      </c>
      <c r="H206" s="1" t="s">
        <v>18</v>
      </c>
      <c r="I206" s="1" t="s">
        <v>39</v>
      </c>
      <c r="J206" s="1" t="s">
        <v>260</v>
      </c>
      <c r="K206" s="3">
        <v>1.0</v>
      </c>
    </row>
    <row r="207">
      <c r="A207" s="2">
        <v>46223.48840194444</v>
      </c>
      <c r="B207" s="1" t="s">
        <v>14</v>
      </c>
      <c r="C207" s="1" t="s">
        <v>218</v>
      </c>
      <c r="D207" s="1" t="s">
        <v>218</v>
      </c>
      <c r="E207" s="1" t="s">
        <v>135</v>
      </c>
      <c r="L207" s="1" t="s">
        <v>22</v>
      </c>
    </row>
    <row r="208">
      <c r="A208" s="2">
        <v>46223.48847534722</v>
      </c>
      <c r="B208" s="1" t="s">
        <v>14</v>
      </c>
      <c r="C208" s="1" t="s">
        <v>261</v>
      </c>
      <c r="D208" s="1" t="s">
        <v>261</v>
      </c>
      <c r="E208" s="1" t="s">
        <v>262</v>
      </c>
      <c r="F208" s="3">
        <v>0.95</v>
      </c>
      <c r="G208" s="1" t="s">
        <v>263</v>
      </c>
      <c r="H208" s="1" t="s">
        <v>18</v>
      </c>
      <c r="I208" s="1" t="s">
        <v>264</v>
      </c>
      <c r="J208" s="1" t="s">
        <v>265</v>
      </c>
      <c r="K208" s="3">
        <v>1.0</v>
      </c>
    </row>
    <row r="209">
      <c r="A209" s="2">
        <v>46223.48850128472</v>
      </c>
      <c r="B209" s="1" t="s">
        <v>14</v>
      </c>
      <c r="C209" s="1" t="s">
        <v>224</v>
      </c>
      <c r="D209" s="1" t="s">
        <v>224</v>
      </c>
      <c r="E209" s="1" t="s">
        <v>135</v>
      </c>
      <c r="F209" s="3">
        <v>0.95</v>
      </c>
      <c r="G209" s="1" t="s">
        <v>266</v>
      </c>
      <c r="H209" s="1" t="s">
        <v>18</v>
      </c>
      <c r="I209" s="1" t="s">
        <v>226</v>
      </c>
      <c r="J209" s="1" t="s">
        <v>267</v>
      </c>
      <c r="K209" s="3">
        <v>1.0</v>
      </c>
    </row>
    <row r="210">
      <c r="A210" s="2">
        <v>46223.488595891205</v>
      </c>
      <c r="B210" s="1" t="s">
        <v>14</v>
      </c>
      <c r="C210" s="1" t="s">
        <v>224</v>
      </c>
      <c r="D210" s="1" t="s">
        <v>224</v>
      </c>
      <c r="E210" s="1" t="s">
        <v>135</v>
      </c>
      <c r="L210" s="1" t="s">
        <v>21</v>
      </c>
    </row>
    <row r="211">
      <c r="A211" s="2">
        <v>46223.48866690972</v>
      </c>
      <c r="B211" s="1" t="s">
        <v>14</v>
      </c>
      <c r="C211" s="1" t="s">
        <v>268</v>
      </c>
      <c r="D211" s="1" t="s">
        <v>268</v>
      </c>
      <c r="E211" s="1" t="s">
        <v>262</v>
      </c>
      <c r="F211" s="3">
        <v>0.92</v>
      </c>
      <c r="G211" s="1" t="s">
        <v>269</v>
      </c>
      <c r="H211" s="1" t="s">
        <v>18</v>
      </c>
      <c r="I211" s="1" t="s">
        <v>186</v>
      </c>
      <c r="J211" s="1" t="s">
        <v>270</v>
      </c>
      <c r="K211" s="3">
        <v>1.0</v>
      </c>
    </row>
    <row r="212">
      <c r="A212" s="2">
        <v>46223.48868001158</v>
      </c>
      <c r="B212" s="1" t="s">
        <v>14</v>
      </c>
      <c r="C212" s="1" t="s">
        <v>224</v>
      </c>
      <c r="D212" s="1" t="s">
        <v>224</v>
      </c>
      <c r="E212" s="1" t="s">
        <v>135</v>
      </c>
      <c r="L212" s="1" t="s">
        <v>22</v>
      </c>
    </row>
    <row r="213">
      <c r="A213" s="2">
        <v>46223.488849201385</v>
      </c>
      <c r="B213" s="1" t="s">
        <v>14</v>
      </c>
      <c r="C213" s="1" t="s">
        <v>271</v>
      </c>
      <c r="D213" s="1" t="s">
        <v>271</v>
      </c>
      <c r="E213" s="1" t="s">
        <v>234</v>
      </c>
      <c r="F213" s="3">
        <v>0.98</v>
      </c>
      <c r="G213" s="1" t="s">
        <v>272</v>
      </c>
      <c r="H213" s="1" t="s">
        <v>18</v>
      </c>
      <c r="I213" s="1" t="s">
        <v>273</v>
      </c>
      <c r="J213" s="1" t="s">
        <v>274</v>
      </c>
      <c r="K213" s="3">
        <v>1.0</v>
      </c>
    </row>
    <row r="214">
      <c r="A214" s="2">
        <v>46223.488876180556</v>
      </c>
      <c r="B214" s="1" t="s">
        <v>14</v>
      </c>
      <c r="C214" s="1" t="s">
        <v>275</v>
      </c>
      <c r="D214" s="1" t="s">
        <v>275</v>
      </c>
      <c r="E214" s="1" t="s">
        <v>234</v>
      </c>
      <c r="F214" s="3">
        <v>0.98</v>
      </c>
      <c r="G214" s="1" t="s">
        <v>276</v>
      </c>
      <c r="H214" s="1" t="s">
        <v>18</v>
      </c>
      <c r="I214" s="1" t="s">
        <v>277</v>
      </c>
      <c r="J214" s="1" t="s">
        <v>278</v>
      </c>
      <c r="K214" s="3">
        <v>1.0</v>
      </c>
    </row>
    <row r="215">
      <c r="A215" s="2">
        <v>46223.48898159723</v>
      </c>
      <c r="B215" s="1" t="s">
        <v>14</v>
      </c>
      <c r="C215" s="1" t="s">
        <v>279</v>
      </c>
      <c r="D215" s="1" t="s">
        <v>279</v>
      </c>
      <c r="E215" s="1" t="s">
        <v>234</v>
      </c>
      <c r="F215" s="3">
        <v>0.95</v>
      </c>
      <c r="G215" s="1" t="s">
        <v>280</v>
      </c>
      <c r="H215" s="1" t="s">
        <v>18</v>
      </c>
      <c r="I215" s="1" t="s">
        <v>19</v>
      </c>
      <c r="J215" s="1" t="s">
        <v>281</v>
      </c>
      <c r="K215" s="3">
        <v>1.0</v>
      </c>
    </row>
    <row r="216">
      <c r="A216" s="2">
        <v>46223.48911790509</v>
      </c>
      <c r="B216" s="1" t="s">
        <v>14</v>
      </c>
      <c r="C216" s="1" t="s">
        <v>282</v>
      </c>
      <c r="D216" s="1" t="s">
        <v>282</v>
      </c>
      <c r="E216" s="1" t="s">
        <v>234</v>
      </c>
      <c r="F216" s="3">
        <v>0.9</v>
      </c>
      <c r="G216" s="1" t="s">
        <v>283</v>
      </c>
      <c r="H216" s="1" t="s">
        <v>18</v>
      </c>
      <c r="I216" s="1" t="s">
        <v>277</v>
      </c>
      <c r="J216" s="1" t="s">
        <v>284</v>
      </c>
      <c r="K216" s="3">
        <v>1.0</v>
      </c>
    </row>
    <row r="217">
      <c r="A217" s="2">
        <v>46223.48912322917</v>
      </c>
      <c r="B217" s="1" t="s">
        <v>14</v>
      </c>
      <c r="C217" s="1" t="s">
        <v>285</v>
      </c>
      <c r="D217" s="1" t="s">
        <v>285</v>
      </c>
      <c r="E217" s="1" t="s">
        <v>234</v>
      </c>
      <c r="F217" s="3">
        <v>0.99</v>
      </c>
      <c r="G217" s="1" t="s">
        <v>286</v>
      </c>
      <c r="H217" s="1" t="s">
        <v>18</v>
      </c>
      <c r="I217" s="1" t="s">
        <v>39</v>
      </c>
      <c r="J217" s="1" t="s">
        <v>287</v>
      </c>
      <c r="K217" s="3">
        <v>1.0</v>
      </c>
    </row>
    <row r="218">
      <c r="A218" s="2">
        <v>46223.48924332176</v>
      </c>
      <c r="B218" s="1" t="s">
        <v>14</v>
      </c>
      <c r="C218" s="1" t="s">
        <v>233</v>
      </c>
      <c r="D218" s="1" t="s">
        <v>233</v>
      </c>
      <c r="E218" s="1" t="s">
        <v>234</v>
      </c>
      <c r="F218" s="3">
        <v>0.98</v>
      </c>
      <c r="G218" s="1" t="s">
        <v>288</v>
      </c>
      <c r="H218" s="1" t="s">
        <v>18</v>
      </c>
      <c r="I218" s="1" t="s">
        <v>289</v>
      </c>
      <c r="J218" s="1" t="s">
        <v>290</v>
      </c>
      <c r="K218" s="3">
        <v>1.0</v>
      </c>
    </row>
    <row r="219">
      <c r="A219" s="2">
        <v>46223.489246111116</v>
      </c>
      <c r="B219" s="1" t="s">
        <v>14</v>
      </c>
      <c r="C219" s="1" t="s">
        <v>291</v>
      </c>
      <c r="D219" s="1" t="s">
        <v>291</v>
      </c>
      <c r="E219" s="1" t="s">
        <v>234</v>
      </c>
      <c r="F219" s="3">
        <v>0.95</v>
      </c>
      <c r="G219" s="1" t="s">
        <v>292</v>
      </c>
      <c r="H219" s="1" t="s">
        <v>18</v>
      </c>
      <c r="I219" s="1" t="s">
        <v>293</v>
      </c>
      <c r="J219" s="1" t="s">
        <v>294</v>
      </c>
      <c r="K219" s="3">
        <v>1.0</v>
      </c>
    </row>
    <row r="220">
      <c r="A220" s="2">
        <v>46223.489410208334</v>
      </c>
      <c r="B220" s="1" t="s">
        <v>14</v>
      </c>
      <c r="C220" s="1" t="s">
        <v>295</v>
      </c>
      <c r="D220" s="1" t="s">
        <v>295</v>
      </c>
      <c r="E220" s="1" t="s">
        <v>262</v>
      </c>
      <c r="F220" s="3">
        <v>0.92</v>
      </c>
      <c r="G220" s="1" t="s">
        <v>296</v>
      </c>
      <c r="H220" s="1" t="s">
        <v>18</v>
      </c>
      <c r="I220" s="1" t="s">
        <v>186</v>
      </c>
      <c r="J220" s="1" t="s">
        <v>297</v>
      </c>
      <c r="K220" s="3">
        <v>1.0</v>
      </c>
    </row>
    <row r="221">
      <c r="A221" s="2">
        <v>46223.48946196759</v>
      </c>
      <c r="B221" s="1" t="s">
        <v>14</v>
      </c>
      <c r="C221" s="1" t="s">
        <v>298</v>
      </c>
      <c r="D221" s="1" t="s">
        <v>298</v>
      </c>
      <c r="E221" s="1" t="s">
        <v>262</v>
      </c>
      <c r="F221" s="3">
        <v>0.8</v>
      </c>
      <c r="G221" s="1" t="s">
        <v>299</v>
      </c>
      <c r="H221" s="1" t="s">
        <v>18</v>
      </c>
      <c r="I221" s="1" t="s">
        <v>300</v>
      </c>
      <c r="J221" s="1" t="s">
        <v>301</v>
      </c>
      <c r="K221" s="3">
        <v>1.0</v>
      </c>
    </row>
    <row r="222">
      <c r="A222" s="2">
        <v>46223.48953291667</v>
      </c>
      <c r="B222" s="1" t="s">
        <v>14</v>
      </c>
      <c r="C222" s="1" t="s">
        <v>239</v>
      </c>
      <c r="D222" s="1" t="s">
        <v>239</v>
      </c>
      <c r="E222" s="1" t="s">
        <v>234</v>
      </c>
      <c r="F222" s="3">
        <v>0.95</v>
      </c>
      <c r="G222" s="1" t="s">
        <v>302</v>
      </c>
      <c r="H222" s="1" t="s">
        <v>18</v>
      </c>
      <c r="I222" s="1" t="s">
        <v>19</v>
      </c>
      <c r="J222" s="1" t="s">
        <v>303</v>
      </c>
      <c r="K222" s="3">
        <v>1.0</v>
      </c>
    </row>
    <row r="223">
      <c r="A223" s="2">
        <v>46223.48959150463</v>
      </c>
      <c r="B223" s="1" t="s">
        <v>14</v>
      </c>
      <c r="C223" s="1" t="s">
        <v>304</v>
      </c>
      <c r="D223" s="1" t="s">
        <v>304</v>
      </c>
      <c r="E223" s="1" t="s">
        <v>234</v>
      </c>
      <c r="F223" s="3">
        <v>0.95</v>
      </c>
      <c r="G223" s="1" t="s">
        <v>305</v>
      </c>
      <c r="H223" s="1" t="s">
        <v>18</v>
      </c>
      <c r="I223" s="1" t="s">
        <v>254</v>
      </c>
      <c r="J223" s="1" t="s">
        <v>306</v>
      </c>
      <c r="K223" s="3">
        <v>1.0</v>
      </c>
    </row>
    <row r="224">
      <c r="A224" s="2">
        <v>46223.48965537037</v>
      </c>
      <c r="B224" s="1" t="s">
        <v>14</v>
      </c>
      <c r="C224" s="1" t="s">
        <v>242</v>
      </c>
      <c r="D224" s="1" t="s">
        <v>242</v>
      </c>
      <c r="E224" s="1" t="s">
        <v>234</v>
      </c>
      <c r="F224" s="3">
        <v>0.95</v>
      </c>
      <c r="G224" s="1" t="s">
        <v>307</v>
      </c>
      <c r="H224" s="1" t="s">
        <v>18</v>
      </c>
      <c r="I224" s="1" t="s">
        <v>39</v>
      </c>
      <c r="J224" s="1" t="s">
        <v>308</v>
      </c>
      <c r="K224" s="3">
        <v>1.0</v>
      </c>
    </row>
    <row r="225">
      <c r="A225" s="2">
        <v>46223.48971663194</v>
      </c>
      <c r="B225" s="1" t="s">
        <v>14</v>
      </c>
      <c r="C225" s="1" t="s">
        <v>309</v>
      </c>
      <c r="D225" s="1" t="s">
        <v>309</v>
      </c>
      <c r="E225" s="1" t="s">
        <v>234</v>
      </c>
      <c r="F225" s="3">
        <v>0.95</v>
      </c>
      <c r="G225" s="1" t="s">
        <v>310</v>
      </c>
      <c r="H225" s="1" t="s">
        <v>18</v>
      </c>
      <c r="I225" s="1" t="s">
        <v>254</v>
      </c>
      <c r="J225" s="1" t="s">
        <v>311</v>
      </c>
      <c r="K225" s="3">
        <v>1.0</v>
      </c>
    </row>
    <row r="226">
      <c r="A226" s="2">
        <v>46223.489788067134</v>
      </c>
      <c r="B226" s="1" t="s">
        <v>14</v>
      </c>
      <c r="C226" s="1" t="s">
        <v>312</v>
      </c>
      <c r="D226" s="1" t="s">
        <v>312</v>
      </c>
      <c r="E226" s="1" t="s">
        <v>234</v>
      </c>
      <c r="F226" s="3">
        <v>0.98</v>
      </c>
      <c r="G226" s="1" t="s">
        <v>313</v>
      </c>
      <c r="H226" s="1" t="s">
        <v>18</v>
      </c>
      <c r="I226" s="1" t="s">
        <v>96</v>
      </c>
      <c r="J226" s="1" t="s">
        <v>314</v>
      </c>
      <c r="K226" s="3">
        <v>1.0</v>
      </c>
    </row>
    <row r="227">
      <c r="A227" s="2">
        <v>46223.48985013889</v>
      </c>
      <c r="B227" s="1" t="s">
        <v>14</v>
      </c>
      <c r="C227" s="1" t="s">
        <v>315</v>
      </c>
      <c r="D227" s="1" t="s">
        <v>315</v>
      </c>
      <c r="E227" s="1" t="s">
        <v>234</v>
      </c>
      <c r="F227" s="3">
        <v>0.98</v>
      </c>
      <c r="G227" s="1" t="s">
        <v>316</v>
      </c>
      <c r="H227" s="1" t="s">
        <v>18</v>
      </c>
      <c r="I227" s="1" t="s">
        <v>39</v>
      </c>
      <c r="J227" s="1" t="s">
        <v>317</v>
      </c>
      <c r="K227" s="3">
        <v>1.0</v>
      </c>
    </row>
    <row r="228">
      <c r="A228" s="2">
        <v>46223.4899196412</v>
      </c>
      <c r="B228" s="1" t="s">
        <v>14</v>
      </c>
      <c r="C228" s="1" t="s">
        <v>248</v>
      </c>
      <c r="D228" s="1" t="s">
        <v>248</v>
      </c>
      <c r="E228" s="1" t="s">
        <v>234</v>
      </c>
      <c r="F228" s="3">
        <v>0.98</v>
      </c>
      <c r="G228" s="1" t="s">
        <v>318</v>
      </c>
      <c r="H228" s="1" t="s">
        <v>18</v>
      </c>
      <c r="I228" s="1" t="s">
        <v>210</v>
      </c>
      <c r="J228" s="1" t="s">
        <v>319</v>
      </c>
      <c r="K228" s="3">
        <v>1.0</v>
      </c>
    </row>
    <row r="229">
      <c r="A229" s="2">
        <v>46223.48999111111</v>
      </c>
      <c r="B229" s="1" t="s">
        <v>14</v>
      </c>
      <c r="C229" s="1" t="s">
        <v>320</v>
      </c>
      <c r="D229" s="1" t="s">
        <v>320</v>
      </c>
      <c r="E229" s="1" t="s">
        <v>262</v>
      </c>
      <c r="F229" s="3">
        <v>0.95</v>
      </c>
      <c r="G229" s="1" t="s">
        <v>321</v>
      </c>
      <c r="H229" s="1" t="s">
        <v>18</v>
      </c>
      <c r="I229" s="1" t="s">
        <v>186</v>
      </c>
      <c r="J229" s="1" t="s">
        <v>322</v>
      </c>
      <c r="K229" s="3">
        <v>1.0</v>
      </c>
    </row>
    <row r="230">
      <c r="A230" s="2">
        <v>46223.490053217596</v>
      </c>
      <c r="B230" s="1" t="s">
        <v>14</v>
      </c>
      <c r="C230" s="1" t="s">
        <v>252</v>
      </c>
      <c r="D230" s="1" t="s">
        <v>252</v>
      </c>
      <c r="E230" s="1" t="s">
        <v>234</v>
      </c>
      <c r="F230" s="3">
        <v>0.95</v>
      </c>
      <c r="G230" s="1" t="s">
        <v>323</v>
      </c>
      <c r="H230" s="1" t="s">
        <v>18</v>
      </c>
      <c r="I230" s="1" t="s">
        <v>254</v>
      </c>
      <c r="J230" s="1" t="s">
        <v>324</v>
      </c>
      <c r="K230" s="3">
        <v>1.0</v>
      </c>
    </row>
    <row r="231">
      <c r="A231" s="2">
        <v>46223.49011885417</v>
      </c>
      <c r="B231" s="1" t="s">
        <v>14</v>
      </c>
      <c r="C231" s="1" t="s">
        <v>325</v>
      </c>
      <c r="D231" s="1" t="s">
        <v>325</v>
      </c>
      <c r="E231" s="1" t="s">
        <v>262</v>
      </c>
      <c r="F231" s="3">
        <v>0.98</v>
      </c>
      <c r="G231" s="1" t="s">
        <v>326</v>
      </c>
      <c r="H231" s="1" t="s">
        <v>18</v>
      </c>
      <c r="I231" s="1" t="s">
        <v>327</v>
      </c>
      <c r="J231" s="1" t="s">
        <v>328</v>
      </c>
      <c r="K231" s="3">
        <v>1.0</v>
      </c>
    </row>
    <row r="232">
      <c r="A232" s="2">
        <v>46223.49018245371</v>
      </c>
      <c r="B232" s="1" t="s">
        <v>14</v>
      </c>
      <c r="C232" s="1" t="s">
        <v>258</v>
      </c>
      <c r="D232" s="1" t="s">
        <v>258</v>
      </c>
      <c r="E232" s="1" t="s">
        <v>234</v>
      </c>
      <c r="F232" s="3">
        <v>0.98</v>
      </c>
      <c r="G232" s="1" t="s">
        <v>329</v>
      </c>
      <c r="H232" s="1" t="s">
        <v>18</v>
      </c>
      <c r="I232" s="1" t="s">
        <v>39</v>
      </c>
      <c r="J232" s="1" t="s">
        <v>330</v>
      </c>
      <c r="K232" s="3">
        <v>1.0</v>
      </c>
    </row>
    <row r="233">
      <c r="A233" s="2">
        <v>46223.490267685185</v>
      </c>
      <c r="B233" s="1" t="s">
        <v>14</v>
      </c>
      <c r="C233" s="1" t="s">
        <v>331</v>
      </c>
      <c r="D233" s="1" t="s">
        <v>331</v>
      </c>
      <c r="E233" s="1" t="s">
        <v>262</v>
      </c>
      <c r="F233" s="3">
        <v>0.99</v>
      </c>
      <c r="G233" s="1" t="s">
        <v>332</v>
      </c>
      <c r="H233" s="1" t="s">
        <v>18</v>
      </c>
      <c r="I233" s="1" t="s">
        <v>186</v>
      </c>
      <c r="J233" s="1" t="s">
        <v>333</v>
      </c>
      <c r="K233" s="3">
        <v>1.0</v>
      </c>
    </row>
    <row r="234">
      <c r="A234" s="2">
        <v>46223.49043048611</v>
      </c>
      <c r="B234" s="1" t="s">
        <v>14</v>
      </c>
      <c r="C234" s="1" t="s">
        <v>334</v>
      </c>
      <c r="D234" s="1" t="s">
        <v>334</v>
      </c>
      <c r="E234" s="1" t="s">
        <v>262</v>
      </c>
      <c r="F234" s="3">
        <v>0.98</v>
      </c>
      <c r="G234" s="1" t="s">
        <v>335</v>
      </c>
      <c r="H234" s="1" t="s">
        <v>18</v>
      </c>
      <c r="I234" s="1" t="s">
        <v>186</v>
      </c>
      <c r="J234" s="1" t="s">
        <v>336</v>
      </c>
      <c r="K234" s="3">
        <v>1.0</v>
      </c>
    </row>
    <row r="235">
      <c r="A235" s="2">
        <v>46223.49044728009</v>
      </c>
      <c r="B235" s="1" t="s">
        <v>14</v>
      </c>
      <c r="C235" s="1" t="s">
        <v>268</v>
      </c>
      <c r="D235" s="1" t="s">
        <v>268</v>
      </c>
      <c r="E235" s="1" t="s">
        <v>213</v>
      </c>
      <c r="F235" s="3">
        <v>0.6</v>
      </c>
      <c r="G235" s="1" t="s">
        <v>337</v>
      </c>
      <c r="H235" s="1" t="s">
        <v>18</v>
      </c>
      <c r="I235" s="1" t="s">
        <v>186</v>
      </c>
      <c r="J235" s="1" t="s">
        <v>338</v>
      </c>
      <c r="K235" s="3">
        <v>1.0</v>
      </c>
    </row>
    <row r="236">
      <c r="A236" s="2">
        <v>46223.49051118056</v>
      </c>
      <c r="B236" s="1" t="s">
        <v>14</v>
      </c>
      <c r="C236" s="1" t="s">
        <v>268</v>
      </c>
      <c r="D236" s="1" t="s">
        <v>268</v>
      </c>
      <c r="E236" s="1" t="s">
        <v>213</v>
      </c>
      <c r="L236" s="1" t="s">
        <v>21</v>
      </c>
    </row>
    <row r="237">
      <c r="A237" s="2">
        <v>46223.49056709491</v>
      </c>
      <c r="B237" s="1" t="s">
        <v>14</v>
      </c>
      <c r="C237" s="1" t="s">
        <v>268</v>
      </c>
      <c r="D237" s="1" t="s">
        <v>268</v>
      </c>
      <c r="E237" s="1" t="s">
        <v>213</v>
      </c>
      <c r="L237" s="1" t="s">
        <v>22</v>
      </c>
    </row>
    <row r="238">
      <c r="A238" s="2">
        <v>46223.490577916666</v>
      </c>
      <c r="B238" s="1" t="s">
        <v>14</v>
      </c>
      <c r="C238" s="1" t="s">
        <v>339</v>
      </c>
      <c r="D238" s="1" t="s">
        <v>339</v>
      </c>
      <c r="E238" s="1" t="s">
        <v>262</v>
      </c>
      <c r="F238" s="3">
        <v>0.98</v>
      </c>
      <c r="G238" s="1" t="s">
        <v>340</v>
      </c>
      <c r="H238" s="1" t="s">
        <v>18</v>
      </c>
      <c r="I238" s="1" t="s">
        <v>186</v>
      </c>
      <c r="J238" s="1" t="s">
        <v>341</v>
      </c>
      <c r="K238" s="3">
        <v>1.0</v>
      </c>
    </row>
    <row r="239">
      <c r="A239" s="2">
        <v>46223.49069681713</v>
      </c>
      <c r="B239" s="1" t="s">
        <v>14</v>
      </c>
      <c r="C239" s="1" t="s">
        <v>271</v>
      </c>
      <c r="D239" s="1" t="s">
        <v>271</v>
      </c>
      <c r="E239" s="1" t="s">
        <v>234</v>
      </c>
      <c r="F239" s="3">
        <v>0.95</v>
      </c>
      <c r="G239" s="1" t="s">
        <v>342</v>
      </c>
      <c r="H239" s="1" t="s">
        <v>18</v>
      </c>
      <c r="I239" s="1" t="s">
        <v>343</v>
      </c>
      <c r="J239" s="1" t="s">
        <v>344</v>
      </c>
      <c r="K239" s="3">
        <v>1.0</v>
      </c>
    </row>
    <row r="240">
      <c r="A240" s="2">
        <v>46223.49069943287</v>
      </c>
      <c r="B240" s="1" t="s">
        <v>14</v>
      </c>
      <c r="C240" s="1" t="s">
        <v>345</v>
      </c>
      <c r="D240" s="1" t="s">
        <v>345</v>
      </c>
      <c r="E240" s="1" t="s">
        <v>262</v>
      </c>
      <c r="F240" s="3">
        <v>0.95</v>
      </c>
      <c r="G240" s="1" t="s">
        <v>346</v>
      </c>
      <c r="H240" s="1" t="s">
        <v>18</v>
      </c>
      <c r="I240" s="1" t="s">
        <v>186</v>
      </c>
      <c r="J240" s="1" t="s">
        <v>347</v>
      </c>
      <c r="K240" s="3">
        <v>1.0</v>
      </c>
    </row>
    <row r="241">
      <c r="A241" s="2">
        <v>46223.49084167824</v>
      </c>
      <c r="B241" s="1" t="s">
        <v>14</v>
      </c>
      <c r="C241" s="1" t="s">
        <v>348</v>
      </c>
      <c r="D241" s="1" t="s">
        <v>348</v>
      </c>
      <c r="E241" s="1" t="s">
        <v>262</v>
      </c>
      <c r="F241" s="3">
        <v>0.98</v>
      </c>
      <c r="G241" s="1" t="s">
        <v>349</v>
      </c>
      <c r="H241" s="1" t="s">
        <v>18</v>
      </c>
      <c r="I241" s="1" t="s">
        <v>186</v>
      </c>
      <c r="J241" s="1" t="s">
        <v>350</v>
      </c>
      <c r="K241" s="3">
        <v>1.0</v>
      </c>
    </row>
    <row r="242">
      <c r="A242" s="2">
        <v>46223.490845567125</v>
      </c>
      <c r="B242" s="1" t="s">
        <v>14</v>
      </c>
      <c r="C242" s="1" t="s">
        <v>279</v>
      </c>
      <c r="D242" s="1" t="s">
        <v>279</v>
      </c>
      <c r="E242" s="1" t="s">
        <v>234</v>
      </c>
      <c r="F242" s="3">
        <v>0.98</v>
      </c>
      <c r="G242" s="1" t="s">
        <v>351</v>
      </c>
      <c r="H242" s="1" t="s">
        <v>18</v>
      </c>
      <c r="I242" s="1" t="s">
        <v>19</v>
      </c>
      <c r="J242" s="1" t="s">
        <v>352</v>
      </c>
      <c r="K242" s="3">
        <v>1.0</v>
      </c>
    </row>
    <row r="243">
      <c r="A243" s="2">
        <v>46223.490977430556</v>
      </c>
      <c r="B243" s="1" t="s">
        <v>14</v>
      </c>
      <c r="C243" s="1" t="s">
        <v>353</v>
      </c>
      <c r="D243" s="1" t="s">
        <v>353</v>
      </c>
      <c r="E243" s="1" t="s">
        <v>262</v>
      </c>
      <c r="F243" s="3">
        <v>0.95</v>
      </c>
      <c r="G243" s="1" t="s">
        <v>354</v>
      </c>
      <c r="H243" s="1" t="s">
        <v>18</v>
      </c>
      <c r="I243" s="1" t="s">
        <v>355</v>
      </c>
      <c r="J243" s="1" t="s">
        <v>356</v>
      </c>
      <c r="K243" s="3">
        <v>1.0</v>
      </c>
    </row>
    <row r="244">
      <c r="A244" s="2">
        <v>46223.49099103009</v>
      </c>
      <c r="B244" s="1" t="s">
        <v>14</v>
      </c>
      <c r="C244" s="1" t="s">
        <v>285</v>
      </c>
      <c r="D244" s="1" t="s">
        <v>285</v>
      </c>
      <c r="E244" s="1" t="s">
        <v>234</v>
      </c>
      <c r="F244" s="3">
        <v>0.98</v>
      </c>
      <c r="G244" s="1" t="s">
        <v>357</v>
      </c>
      <c r="H244" s="1" t="s">
        <v>18</v>
      </c>
      <c r="I244" s="1" t="s">
        <v>19</v>
      </c>
      <c r="J244" s="1" t="s">
        <v>358</v>
      </c>
      <c r="K244" s="3">
        <v>1.0</v>
      </c>
    </row>
    <row r="245">
      <c r="A245" s="2">
        <v>46223.491123831016</v>
      </c>
      <c r="B245" s="1" t="s">
        <v>14</v>
      </c>
      <c r="C245" s="1" t="s">
        <v>359</v>
      </c>
      <c r="D245" s="1" t="s">
        <v>359</v>
      </c>
      <c r="E245" s="1" t="s">
        <v>262</v>
      </c>
      <c r="F245" s="3">
        <v>0.97</v>
      </c>
      <c r="G245" s="1" t="s">
        <v>360</v>
      </c>
      <c r="H245" s="1" t="s">
        <v>18</v>
      </c>
      <c r="I245" s="1" t="s">
        <v>361</v>
      </c>
      <c r="J245" s="1" t="s">
        <v>362</v>
      </c>
      <c r="K245" s="3">
        <v>1.0</v>
      </c>
    </row>
    <row r="246">
      <c r="A246" s="2">
        <v>46223.49113173611</v>
      </c>
      <c r="B246" s="1" t="s">
        <v>14</v>
      </c>
      <c r="C246" s="1" t="s">
        <v>291</v>
      </c>
      <c r="D246" s="1" t="s">
        <v>291</v>
      </c>
      <c r="E246" s="1" t="s">
        <v>234</v>
      </c>
      <c r="F246" s="3">
        <v>0.95</v>
      </c>
      <c r="G246" s="1" t="s">
        <v>363</v>
      </c>
      <c r="H246" s="1" t="s">
        <v>18</v>
      </c>
      <c r="I246" s="1" t="s">
        <v>43</v>
      </c>
      <c r="J246" s="1" t="s">
        <v>364</v>
      </c>
      <c r="K246" s="3">
        <v>1.0</v>
      </c>
    </row>
    <row r="247">
      <c r="A247" s="2">
        <v>46223.49127353009</v>
      </c>
      <c r="B247" s="1" t="s">
        <v>14</v>
      </c>
      <c r="C247" s="1" t="s">
        <v>365</v>
      </c>
      <c r="D247" s="1" t="s">
        <v>365</v>
      </c>
      <c r="E247" s="1" t="s">
        <v>262</v>
      </c>
      <c r="F247" s="3">
        <v>0.95</v>
      </c>
      <c r="G247" s="1" t="s">
        <v>366</v>
      </c>
      <c r="H247" s="1" t="s">
        <v>18</v>
      </c>
      <c r="I247" s="1" t="s">
        <v>355</v>
      </c>
      <c r="J247" s="1" t="s">
        <v>367</v>
      </c>
      <c r="K247" s="3">
        <v>1.0</v>
      </c>
    </row>
    <row r="248">
      <c r="A248" s="2">
        <v>46223.49128508102</v>
      </c>
      <c r="B248" s="1" t="s">
        <v>14</v>
      </c>
      <c r="C248" s="1" t="s">
        <v>298</v>
      </c>
      <c r="D248" s="1" t="s">
        <v>298</v>
      </c>
      <c r="E248" s="1" t="s">
        <v>262</v>
      </c>
      <c r="F248" s="3">
        <v>0.9</v>
      </c>
      <c r="G248" s="1" t="s">
        <v>368</v>
      </c>
      <c r="H248" s="1" t="s">
        <v>18</v>
      </c>
      <c r="I248" s="1" t="s">
        <v>369</v>
      </c>
      <c r="J248" s="1" t="s">
        <v>370</v>
      </c>
      <c r="K248" s="3">
        <v>1.0</v>
      </c>
    </row>
    <row r="249">
      <c r="A249" s="2">
        <v>46223.491420590275</v>
      </c>
      <c r="B249" s="1" t="s">
        <v>14</v>
      </c>
      <c r="C249" s="1" t="s">
        <v>371</v>
      </c>
      <c r="D249" s="1" t="s">
        <v>371</v>
      </c>
      <c r="E249" s="1" t="s">
        <v>262</v>
      </c>
      <c r="F249" s="3">
        <v>0.95</v>
      </c>
      <c r="G249" s="1" t="s">
        <v>372</v>
      </c>
      <c r="H249" s="1" t="s">
        <v>18</v>
      </c>
      <c r="I249" s="1" t="s">
        <v>373</v>
      </c>
      <c r="J249" s="1" t="s">
        <v>374</v>
      </c>
      <c r="K249" s="3">
        <v>1.0</v>
      </c>
    </row>
    <row r="250">
      <c r="A250" s="2">
        <v>46223.49142542824</v>
      </c>
      <c r="B250" s="1" t="s">
        <v>14</v>
      </c>
      <c r="C250" s="1" t="s">
        <v>304</v>
      </c>
      <c r="D250" s="1" t="s">
        <v>304</v>
      </c>
      <c r="E250" s="1" t="s">
        <v>234</v>
      </c>
      <c r="F250" s="3">
        <v>0.95</v>
      </c>
      <c r="G250" s="1" t="s">
        <v>375</v>
      </c>
      <c r="H250" s="1" t="s">
        <v>18</v>
      </c>
      <c r="I250" s="1" t="s">
        <v>19</v>
      </c>
      <c r="J250" s="1" t="s">
        <v>376</v>
      </c>
      <c r="K250" s="3">
        <v>1.0</v>
      </c>
    </row>
    <row r="251">
      <c r="A251" s="2">
        <v>46223.49156487269</v>
      </c>
      <c r="B251" s="1" t="s">
        <v>14</v>
      </c>
      <c r="C251" s="1" t="s">
        <v>309</v>
      </c>
      <c r="D251" s="1" t="s">
        <v>309</v>
      </c>
      <c r="E251" s="1" t="s">
        <v>234</v>
      </c>
      <c r="F251" s="3">
        <v>0.95</v>
      </c>
      <c r="G251" s="1" t="s">
        <v>377</v>
      </c>
      <c r="H251" s="1" t="s">
        <v>18</v>
      </c>
      <c r="I251" s="1" t="s">
        <v>19</v>
      </c>
      <c r="J251" s="1" t="s">
        <v>378</v>
      </c>
      <c r="K251" s="3">
        <v>1.0</v>
      </c>
    </row>
    <row r="252">
      <c r="A252" s="2">
        <v>46223.491585717595</v>
      </c>
      <c r="B252" s="1" t="s">
        <v>14</v>
      </c>
      <c r="C252" s="1" t="s">
        <v>379</v>
      </c>
      <c r="D252" s="1" t="s">
        <v>379</v>
      </c>
      <c r="E252" s="1" t="s">
        <v>262</v>
      </c>
      <c r="F252" s="3">
        <v>0.92</v>
      </c>
      <c r="G252" s="1" t="s">
        <v>380</v>
      </c>
      <c r="H252" s="1" t="s">
        <v>18</v>
      </c>
      <c r="I252" s="1" t="s">
        <v>186</v>
      </c>
      <c r="J252" s="1" t="s">
        <v>381</v>
      </c>
      <c r="K252" s="3">
        <v>1.0</v>
      </c>
    </row>
    <row r="253">
      <c r="A253" s="2">
        <v>46223.49169912037</v>
      </c>
      <c r="B253" s="1" t="s">
        <v>14</v>
      </c>
      <c r="C253" s="1" t="s">
        <v>315</v>
      </c>
      <c r="D253" s="1" t="s">
        <v>315</v>
      </c>
      <c r="E253" s="1" t="s">
        <v>234</v>
      </c>
      <c r="F253" s="3">
        <v>0.95</v>
      </c>
      <c r="G253" s="1" t="s">
        <v>382</v>
      </c>
      <c r="H253" s="1" t="s">
        <v>18</v>
      </c>
      <c r="I253" s="1" t="s">
        <v>19</v>
      </c>
      <c r="J253" s="1" t="s">
        <v>383</v>
      </c>
      <c r="K253" s="3">
        <v>1.0</v>
      </c>
    </row>
    <row r="254">
      <c r="A254" s="2">
        <v>46223.49174888889</v>
      </c>
      <c r="B254" s="1" t="s">
        <v>14</v>
      </c>
      <c r="C254" s="1" t="s">
        <v>384</v>
      </c>
      <c r="D254" s="1" t="s">
        <v>384</v>
      </c>
      <c r="E254" s="1" t="s">
        <v>262</v>
      </c>
      <c r="F254" s="3">
        <v>0.95</v>
      </c>
      <c r="G254" s="1" t="s">
        <v>385</v>
      </c>
      <c r="H254" s="1" t="s">
        <v>18</v>
      </c>
      <c r="I254" s="1" t="s">
        <v>186</v>
      </c>
      <c r="J254" s="1" t="s">
        <v>386</v>
      </c>
      <c r="K254" s="3">
        <v>1.0</v>
      </c>
    </row>
    <row r="255">
      <c r="A255" s="2">
        <v>46223.49185449074</v>
      </c>
      <c r="B255" s="1" t="s">
        <v>14</v>
      </c>
      <c r="C255" s="1" t="s">
        <v>320</v>
      </c>
      <c r="D255" s="1" t="s">
        <v>320</v>
      </c>
      <c r="E255" s="1" t="s">
        <v>262</v>
      </c>
      <c r="F255" s="3">
        <v>0.98</v>
      </c>
      <c r="G255" s="1" t="s">
        <v>387</v>
      </c>
      <c r="H255" s="1" t="s">
        <v>18</v>
      </c>
      <c r="I255" s="1" t="s">
        <v>186</v>
      </c>
      <c r="J255" s="1" t="s">
        <v>388</v>
      </c>
      <c r="K255" s="3">
        <v>1.0</v>
      </c>
    </row>
    <row r="256">
      <c r="A256" s="2">
        <v>46223.4919028588</v>
      </c>
      <c r="B256" s="1" t="s">
        <v>14</v>
      </c>
      <c r="C256" s="1" t="s">
        <v>389</v>
      </c>
      <c r="D256" s="1" t="s">
        <v>389</v>
      </c>
      <c r="E256" s="1" t="s">
        <v>262</v>
      </c>
      <c r="F256" s="3">
        <v>0.95</v>
      </c>
      <c r="G256" s="1" t="s">
        <v>390</v>
      </c>
      <c r="H256" s="1" t="s">
        <v>18</v>
      </c>
      <c r="I256" s="1" t="s">
        <v>391</v>
      </c>
      <c r="J256" s="1" t="s">
        <v>392</v>
      </c>
      <c r="K256" s="3">
        <v>1.0</v>
      </c>
    </row>
    <row r="257">
      <c r="A257" s="2">
        <v>46223.49198362268</v>
      </c>
      <c r="B257" s="1" t="s">
        <v>14</v>
      </c>
      <c r="C257" s="1" t="s">
        <v>325</v>
      </c>
      <c r="D257" s="1" t="s">
        <v>325</v>
      </c>
      <c r="E257" s="1" t="s">
        <v>262</v>
      </c>
      <c r="F257" s="3">
        <v>0.99</v>
      </c>
      <c r="G257" s="1" t="s">
        <v>393</v>
      </c>
      <c r="H257" s="1" t="s">
        <v>18</v>
      </c>
      <c r="I257" s="1" t="s">
        <v>394</v>
      </c>
      <c r="J257" s="1" t="s">
        <v>395</v>
      </c>
      <c r="K257" s="3">
        <v>1.0</v>
      </c>
    </row>
    <row r="258">
      <c r="A258" s="2">
        <v>46223.49204828704</v>
      </c>
      <c r="B258" s="1" t="s">
        <v>14</v>
      </c>
      <c r="C258" s="1" t="s">
        <v>396</v>
      </c>
      <c r="D258" s="1" t="s">
        <v>396</v>
      </c>
      <c r="E258" s="1" t="s">
        <v>262</v>
      </c>
      <c r="F258" s="3">
        <v>0.95</v>
      </c>
      <c r="G258" s="1" t="s">
        <v>397</v>
      </c>
      <c r="H258" s="1" t="s">
        <v>18</v>
      </c>
      <c r="I258" s="1" t="s">
        <v>186</v>
      </c>
      <c r="J258" s="1" t="s">
        <v>398</v>
      </c>
      <c r="K258" s="3">
        <v>1.0</v>
      </c>
    </row>
    <row r="259">
      <c r="A259" s="2">
        <v>46223.492174768515</v>
      </c>
      <c r="B259" s="1" t="s">
        <v>14</v>
      </c>
      <c r="C259" s="1" t="s">
        <v>399</v>
      </c>
      <c r="D259" s="1" t="s">
        <v>399</v>
      </c>
      <c r="E259" s="1" t="s">
        <v>400</v>
      </c>
      <c r="F259" s="3">
        <v>0.99</v>
      </c>
      <c r="G259" s="1" t="s">
        <v>401</v>
      </c>
      <c r="H259" s="1" t="s">
        <v>18</v>
      </c>
      <c r="I259" s="1" t="s">
        <v>402</v>
      </c>
      <c r="J259" s="1" t="s">
        <v>403</v>
      </c>
      <c r="K259" s="3">
        <v>1.0</v>
      </c>
    </row>
    <row r="260">
      <c r="A260" s="2">
        <v>46223.49218178241</v>
      </c>
      <c r="B260" s="1" t="s">
        <v>14</v>
      </c>
      <c r="C260" s="1" t="s">
        <v>334</v>
      </c>
      <c r="D260" s="1" t="s">
        <v>334</v>
      </c>
      <c r="E260" s="1" t="s">
        <v>262</v>
      </c>
      <c r="F260" s="3">
        <v>0.98</v>
      </c>
      <c r="G260" s="1" t="s">
        <v>404</v>
      </c>
      <c r="H260" s="1" t="s">
        <v>18</v>
      </c>
      <c r="I260" s="1" t="s">
        <v>355</v>
      </c>
      <c r="J260" s="1" t="s">
        <v>405</v>
      </c>
      <c r="K260" s="3">
        <v>1.0</v>
      </c>
    </row>
    <row r="261">
      <c r="A261" s="2">
        <v>46223.49223726852</v>
      </c>
      <c r="B261" s="1" t="s">
        <v>14</v>
      </c>
      <c r="C261" s="1" t="s">
        <v>399</v>
      </c>
      <c r="D261" s="1" t="s">
        <v>399</v>
      </c>
      <c r="E261" s="1" t="s">
        <v>400</v>
      </c>
      <c r="L261" s="1" t="s">
        <v>21</v>
      </c>
    </row>
    <row r="262">
      <c r="A262" s="2">
        <v>46223.492350162036</v>
      </c>
      <c r="B262" s="1" t="s">
        <v>14</v>
      </c>
      <c r="C262" s="1" t="s">
        <v>406</v>
      </c>
      <c r="D262" s="1" t="s">
        <v>406</v>
      </c>
      <c r="E262" s="1" t="s">
        <v>400</v>
      </c>
      <c r="F262" s="3">
        <v>0.99</v>
      </c>
      <c r="G262" s="1" t="s">
        <v>407</v>
      </c>
      <c r="H262" s="1" t="s">
        <v>18</v>
      </c>
      <c r="I262" s="1" t="s">
        <v>186</v>
      </c>
      <c r="J262" s="1" t="s">
        <v>408</v>
      </c>
      <c r="K262" s="3">
        <v>1.0</v>
      </c>
    </row>
    <row r="263">
      <c r="A263" s="2">
        <v>46223.49240631945</v>
      </c>
      <c r="B263" s="1" t="s">
        <v>14</v>
      </c>
      <c r="C263" s="1" t="s">
        <v>345</v>
      </c>
      <c r="D263" s="1" t="s">
        <v>345</v>
      </c>
      <c r="E263" s="1" t="s">
        <v>262</v>
      </c>
      <c r="F263" s="3">
        <v>0.9</v>
      </c>
      <c r="G263" s="1" t="s">
        <v>409</v>
      </c>
      <c r="H263" s="1" t="s">
        <v>18</v>
      </c>
      <c r="I263" s="1" t="s">
        <v>186</v>
      </c>
      <c r="J263" s="1" t="s">
        <v>410</v>
      </c>
      <c r="K263" s="3">
        <v>1.0</v>
      </c>
    </row>
    <row r="264">
      <c r="A264" s="2">
        <v>46223.49242052084</v>
      </c>
      <c r="B264" s="1" t="s">
        <v>14</v>
      </c>
      <c r="C264" s="1" t="s">
        <v>406</v>
      </c>
      <c r="D264" s="1" t="s">
        <v>406</v>
      </c>
      <c r="E264" s="1" t="s">
        <v>400</v>
      </c>
      <c r="L264" s="1" t="s">
        <v>21</v>
      </c>
    </row>
    <row r="265">
      <c r="A265" s="2">
        <v>46223.49253120371</v>
      </c>
      <c r="B265" s="1" t="s">
        <v>14</v>
      </c>
      <c r="C265" s="1" t="s">
        <v>411</v>
      </c>
      <c r="D265" s="1" t="s">
        <v>411</v>
      </c>
      <c r="E265" s="1" t="s">
        <v>400</v>
      </c>
      <c r="F265" s="3">
        <v>0.99</v>
      </c>
      <c r="G265" s="1" t="s">
        <v>412</v>
      </c>
      <c r="H265" s="1" t="s">
        <v>18</v>
      </c>
      <c r="I265" s="1" t="s">
        <v>413</v>
      </c>
      <c r="J265" s="1" t="s">
        <v>414</v>
      </c>
      <c r="K265" s="3">
        <v>1.0</v>
      </c>
    </row>
    <row r="266">
      <c r="A266" s="2">
        <v>46223.4925386574</v>
      </c>
      <c r="B266" s="1" t="s">
        <v>14</v>
      </c>
      <c r="C266" s="1" t="s">
        <v>348</v>
      </c>
      <c r="D266" s="1" t="s">
        <v>348</v>
      </c>
      <c r="E266" s="1" t="s">
        <v>262</v>
      </c>
      <c r="F266" s="3">
        <v>0.98</v>
      </c>
      <c r="G266" s="1" t="s">
        <v>415</v>
      </c>
      <c r="H266" s="1" t="s">
        <v>18</v>
      </c>
      <c r="I266" s="1" t="s">
        <v>222</v>
      </c>
      <c r="J266" s="1" t="s">
        <v>416</v>
      </c>
      <c r="K266" s="3">
        <v>1.0</v>
      </c>
    </row>
    <row r="267">
      <c r="A267" s="2">
        <v>46223.492591076385</v>
      </c>
      <c r="B267" s="1" t="s">
        <v>14</v>
      </c>
      <c r="C267" s="1" t="s">
        <v>411</v>
      </c>
      <c r="D267" s="1" t="s">
        <v>411</v>
      </c>
      <c r="E267" s="1" t="s">
        <v>400</v>
      </c>
      <c r="L267" s="1" t="s">
        <v>21</v>
      </c>
    </row>
    <row r="268">
      <c r="A268" s="2">
        <v>46223.49268534722</v>
      </c>
      <c r="B268" s="1" t="s">
        <v>14</v>
      </c>
      <c r="C268" s="1" t="s">
        <v>353</v>
      </c>
      <c r="D268" s="1" t="s">
        <v>353</v>
      </c>
      <c r="E268" s="1" t="s">
        <v>262</v>
      </c>
      <c r="F268" s="3">
        <v>0.98</v>
      </c>
      <c r="G268" s="1" t="s">
        <v>417</v>
      </c>
      <c r="H268" s="1" t="s">
        <v>18</v>
      </c>
      <c r="I268" s="1" t="s">
        <v>418</v>
      </c>
      <c r="J268" s="1" t="s">
        <v>419</v>
      </c>
      <c r="K268" s="3">
        <v>1.0</v>
      </c>
    </row>
    <row r="269">
      <c r="A269" s="2">
        <v>46223.49274722222</v>
      </c>
      <c r="B269" s="1" t="s">
        <v>14</v>
      </c>
      <c r="C269" s="1" t="s">
        <v>420</v>
      </c>
      <c r="D269" s="1" t="s">
        <v>420</v>
      </c>
      <c r="E269" s="1" t="s">
        <v>400</v>
      </c>
      <c r="F269" s="3">
        <v>0.98</v>
      </c>
      <c r="G269" s="1" t="s">
        <v>421</v>
      </c>
      <c r="H269" s="1" t="s">
        <v>18</v>
      </c>
      <c r="I269" s="1" t="s">
        <v>73</v>
      </c>
      <c r="J269" s="1" t="s">
        <v>422</v>
      </c>
      <c r="K269" s="3">
        <v>1.0</v>
      </c>
    </row>
    <row r="270">
      <c r="A270" s="2">
        <v>46223.492815474536</v>
      </c>
      <c r="B270" s="1" t="s">
        <v>14</v>
      </c>
      <c r="C270" s="1" t="s">
        <v>420</v>
      </c>
      <c r="D270" s="1" t="s">
        <v>420</v>
      </c>
      <c r="E270" s="1" t="s">
        <v>400</v>
      </c>
      <c r="L270" s="1" t="s">
        <v>21</v>
      </c>
    </row>
    <row r="271">
      <c r="A271" s="2">
        <v>46223.4928440625</v>
      </c>
      <c r="B271" s="1" t="s">
        <v>14</v>
      </c>
      <c r="C271" s="1" t="s">
        <v>359</v>
      </c>
      <c r="D271" s="1" t="s">
        <v>359</v>
      </c>
      <c r="E271" s="1" t="s">
        <v>262</v>
      </c>
      <c r="F271" s="3">
        <v>0.98</v>
      </c>
      <c r="G271" s="1" t="s">
        <v>423</v>
      </c>
      <c r="H271" s="1" t="s">
        <v>18</v>
      </c>
      <c r="I271" s="1" t="s">
        <v>186</v>
      </c>
      <c r="J271" s="1" t="s">
        <v>424</v>
      </c>
      <c r="K271" s="3">
        <v>1.0</v>
      </c>
    </row>
    <row r="272">
      <c r="A272" s="2">
        <v>46223.49296393519</v>
      </c>
      <c r="B272" s="1" t="s">
        <v>14</v>
      </c>
      <c r="C272" s="1" t="s">
        <v>425</v>
      </c>
      <c r="D272" s="1" t="s">
        <v>425</v>
      </c>
      <c r="E272" s="1" t="s">
        <v>400</v>
      </c>
      <c r="F272" s="3">
        <v>0.99</v>
      </c>
      <c r="G272" s="1" t="s">
        <v>426</v>
      </c>
      <c r="H272" s="1" t="s">
        <v>18</v>
      </c>
      <c r="I272" s="1" t="s">
        <v>427</v>
      </c>
      <c r="J272" s="1" t="s">
        <v>428</v>
      </c>
      <c r="K272" s="3">
        <v>1.0</v>
      </c>
    </row>
    <row r="273">
      <c r="A273" s="2">
        <v>46223.4930225</v>
      </c>
      <c r="B273" s="1" t="s">
        <v>14</v>
      </c>
      <c r="C273" s="1" t="s">
        <v>365</v>
      </c>
      <c r="D273" s="1" t="s">
        <v>365</v>
      </c>
      <c r="E273" s="1" t="s">
        <v>262</v>
      </c>
      <c r="F273" s="3">
        <v>0.98</v>
      </c>
      <c r="G273" s="1" t="s">
        <v>429</v>
      </c>
      <c r="H273" s="1" t="s">
        <v>18</v>
      </c>
      <c r="I273" s="1" t="s">
        <v>430</v>
      </c>
      <c r="J273" s="1" t="s">
        <v>431</v>
      </c>
      <c r="K273" s="3">
        <v>1.0</v>
      </c>
    </row>
    <row r="274">
      <c r="A274" s="2">
        <v>46223.49303670139</v>
      </c>
      <c r="B274" s="1" t="s">
        <v>14</v>
      </c>
      <c r="C274" s="1" t="s">
        <v>425</v>
      </c>
      <c r="D274" s="1" t="s">
        <v>425</v>
      </c>
      <c r="E274" s="1" t="s">
        <v>400</v>
      </c>
      <c r="L274" s="1" t="s">
        <v>21</v>
      </c>
    </row>
    <row r="275">
      <c r="A275" s="2">
        <v>46223.493136689816</v>
      </c>
      <c r="B275" s="1" t="s">
        <v>14</v>
      </c>
      <c r="C275" s="1" t="s">
        <v>432</v>
      </c>
      <c r="D275" s="1" t="s">
        <v>432</v>
      </c>
      <c r="E275" s="1" t="s">
        <v>400</v>
      </c>
      <c r="F275" s="3">
        <v>0.98</v>
      </c>
      <c r="G275" s="1" t="s">
        <v>433</v>
      </c>
      <c r="H275" s="1" t="s">
        <v>18</v>
      </c>
      <c r="I275" s="1" t="s">
        <v>402</v>
      </c>
      <c r="J275" s="1" t="s">
        <v>434</v>
      </c>
      <c r="K275" s="3">
        <v>1.0</v>
      </c>
    </row>
    <row r="276">
      <c r="A276" s="2">
        <v>46223.4931975463</v>
      </c>
      <c r="B276" s="1" t="s">
        <v>14</v>
      </c>
      <c r="C276" s="1" t="s">
        <v>371</v>
      </c>
      <c r="D276" s="1" t="s">
        <v>371</v>
      </c>
      <c r="E276" s="1" t="s">
        <v>262</v>
      </c>
      <c r="F276" s="3">
        <v>0.95</v>
      </c>
      <c r="G276" s="1" t="s">
        <v>435</v>
      </c>
      <c r="H276" s="1" t="s">
        <v>18</v>
      </c>
      <c r="I276" s="1" t="s">
        <v>436</v>
      </c>
      <c r="J276" s="1" t="s">
        <v>437</v>
      </c>
      <c r="K276" s="3">
        <v>1.0</v>
      </c>
    </row>
    <row r="277">
      <c r="A277" s="2">
        <v>46223.49320728009</v>
      </c>
      <c r="B277" s="1" t="s">
        <v>14</v>
      </c>
      <c r="C277" s="1" t="s">
        <v>432</v>
      </c>
      <c r="D277" s="1" t="s">
        <v>432</v>
      </c>
      <c r="E277" s="1" t="s">
        <v>400</v>
      </c>
      <c r="L277" s="1" t="s">
        <v>21</v>
      </c>
    </row>
    <row r="278">
      <c r="A278" s="2">
        <v>46223.49332746528</v>
      </c>
      <c r="B278" s="1" t="s">
        <v>14</v>
      </c>
      <c r="C278" s="1" t="s">
        <v>438</v>
      </c>
      <c r="D278" s="1" t="s">
        <v>438</v>
      </c>
      <c r="E278" s="1" t="s">
        <v>400</v>
      </c>
      <c r="F278" s="3">
        <v>0.98</v>
      </c>
      <c r="G278" s="1" t="s">
        <v>439</v>
      </c>
      <c r="H278" s="1" t="s">
        <v>18</v>
      </c>
      <c r="I278" s="1" t="s">
        <v>39</v>
      </c>
      <c r="J278" s="1" t="s">
        <v>440</v>
      </c>
      <c r="K278" s="3">
        <v>1.0</v>
      </c>
    </row>
    <row r="279">
      <c r="A279" s="2">
        <v>46223.49336043981</v>
      </c>
      <c r="B279" s="1" t="s">
        <v>14</v>
      </c>
      <c r="C279" s="1" t="s">
        <v>379</v>
      </c>
      <c r="D279" s="1" t="s">
        <v>379</v>
      </c>
      <c r="E279" s="1" t="s">
        <v>262</v>
      </c>
      <c r="F279" s="3">
        <v>0.9</v>
      </c>
      <c r="G279" s="1" t="s">
        <v>441</v>
      </c>
      <c r="H279" s="1" t="s">
        <v>18</v>
      </c>
      <c r="I279" s="1" t="s">
        <v>186</v>
      </c>
      <c r="J279" s="1" t="s">
        <v>442</v>
      </c>
      <c r="K279" s="3">
        <v>1.0</v>
      </c>
    </row>
    <row r="280">
      <c r="A280" s="2">
        <v>46223.49339368056</v>
      </c>
      <c r="B280" s="1" t="s">
        <v>14</v>
      </c>
      <c r="C280" s="1" t="s">
        <v>438</v>
      </c>
      <c r="D280" s="1" t="s">
        <v>438</v>
      </c>
      <c r="E280" s="1" t="s">
        <v>400</v>
      </c>
      <c r="L280" s="1" t="s">
        <v>21</v>
      </c>
    </row>
    <row r="281">
      <c r="A281" s="2">
        <v>46223.49350200231</v>
      </c>
      <c r="B281" s="1" t="s">
        <v>14</v>
      </c>
      <c r="C281" s="1" t="s">
        <v>443</v>
      </c>
      <c r="D281" s="1" t="s">
        <v>443</v>
      </c>
      <c r="E281" s="1" t="s">
        <v>400</v>
      </c>
      <c r="F281" s="3">
        <v>0.99</v>
      </c>
      <c r="G281" s="1" t="s">
        <v>444</v>
      </c>
      <c r="H281" s="1" t="s">
        <v>18</v>
      </c>
      <c r="I281" s="1" t="s">
        <v>445</v>
      </c>
      <c r="J281" s="1" t="s">
        <v>446</v>
      </c>
      <c r="K281" s="3">
        <v>1.0</v>
      </c>
    </row>
    <row r="282">
      <c r="A282" s="2">
        <v>46223.49350824074</v>
      </c>
      <c r="B282" s="1" t="s">
        <v>14</v>
      </c>
      <c r="C282" s="1" t="s">
        <v>384</v>
      </c>
      <c r="D282" s="1" t="s">
        <v>384</v>
      </c>
      <c r="E282" s="1" t="s">
        <v>262</v>
      </c>
      <c r="F282" s="3">
        <v>0.95</v>
      </c>
      <c r="G282" s="1" t="s">
        <v>447</v>
      </c>
      <c r="H282" s="1" t="s">
        <v>18</v>
      </c>
      <c r="I282" s="1" t="s">
        <v>186</v>
      </c>
      <c r="J282" s="1" t="s">
        <v>448</v>
      </c>
      <c r="K282" s="3">
        <v>1.0</v>
      </c>
    </row>
    <row r="283">
      <c r="A283" s="2">
        <v>46223.49356190972</v>
      </c>
      <c r="B283" s="1" t="s">
        <v>14</v>
      </c>
      <c r="C283" s="1" t="s">
        <v>443</v>
      </c>
      <c r="D283" s="1" t="s">
        <v>443</v>
      </c>
      <c r="E283" s="1" t="s">
        <v>400</v>
      </c>
      <c r="L283" s="1" t="s">
        <v>21</v>
      </c>
    </row>
    <row r="284">
      <c r="A284" s="2">
        <v>46223.493683252316</v>
      </c>
      <c r="B284" s="1" t="s">
        <v>14</v>
      </c>
      <c r="C284" s="1" t="s">
        <v>449</v>
      </c>
      <c r="D284" s="1" t="s">
        <v>449</v>
      </c>
      <c r="E284" s="1" t="s">
        <v>400</v>
      </c>
      <c r="F284" s="3">
        <v>0.98</v>
      </c>
      <c r="G284" s="1" t="s">
        <v>450</v>
      </c>
      <c r="H284" s="1" t="s">
        <v>18</v>
      </c>
      <c r="I284" s="1" t="s">
        <v>451</v>
      </c>
      <c r="J284" s="1" t="s">
        <v>452</v>
      </c>
      <c r="K284" s="3">
        <v>1.0</v>
      </c>
    </row>
    <row r="285">
      <c r="A285" s="2">
        <v>46223.493693993056</v>
      </c>
      <c r="B285" s="1" t="s">
        <v>14</v>
      </c>
      <c r="C285" s="1" t="s">
        <v>389</v>
      </c>
      <c r="D285" s="1" t="s">
        <v>389</v>
      </c>
      <c r="E285" s="1" t="s">
        <v>213</v>
      </c>
      <c r="F285" s="3">
        <v>0.8</v>
      </c>
      <c r="G285" s="1" t="s">
        <v>453</v>
      </c>
      <c r="H285" s="1" t="s">
        <v>18</v>
      </c>
      <c r="I285" s="1" t="s">
        <v>391</v>
      </c>
      <c r="J285" s="1" t="s">
        <v>454</v>
      </c>
      <c r="K285" s="3">
        <v>1.0</v>
      </c>
    </row>
    <row r="286">
      <c r="A286" s="2">
        <v>46223.4937616088</v>
      </c>
      <c r="B286" s="1" t="s">
        <v>14</v>
      </c>
      <c r="C286" s="1" t="s">
        <v>389</v>
      </c>
      <c r="D286" s="1" t="s">
        <v>389</v>
      </c>
      <c r="E286" s="1" t="s">
        <v>213</v>
      </c>
      <c r="L286" s="1" t="s">
        <v>21</v>
      </c>
    </row>
    <row r="287">
      <c r="A287" s="2">
        <v>46223.49376582176</v>
      </c>
      <c r="B287" s="1" t="s">
        <v>14</v>
      </c>
      <c r="C287" s="1" t="s">
        <v>449</v>
      </c>
      <c r="D287" s="1" t="s">
        <v>449</v>
      </c>
      <c r="E287" s="1" t="s">
        <v>400</v>
      </c>
      <c r="L287" s="1" t="s">
        <v>21</v>
      </c>
    </row>
    <row r="288">
      <c r="A288" s="2">
        <v>46223.493873287036</v>
      </c>
      <c r="B288" s="1" t="s">
        <v>14</v>
      </c>
      <c r="C288" s="1" t="s">
        <v>455</v>
      </c>
      <c r="D288" s="1" t="s">
        <v>455</v>
      </c>
      <c r="E288" s="1" t="s">
        <v>400</v>
      </c>
      <c r="F288" s="3">
        <v>0.99</v>
      </c>
      <c r="G288" s="1" t="s">
        <v>456</v>
      </c>
      <c r="H288" s="1" t="s">
        <v>18</v>
      </c>
      <c r="I288" s="1" t="s">
        <v>445</v>
      </c>
      <c r="J288" s="1" t="s">
        <v>457</v>
      </c>
      <c r="K288" s="3">
        <v>1.0</v>
      </c>
    </row>
    <row r="289">
      <c r="A289" s="2">
        <v>46223.49389357639</v>
      </c>
      <c r="B289" s="1" t="s">
        <v>14</v>
      </c>
      <c r="C289" s="1" t="s">
        <v>396</v>
      </c>
      <c r="D289" s="1" t="s">
        <v>396</v>
      </c>
      <c r="E289" s="1" t="s">
        <v>262</v>
      </c>
      <c r="F289" s="3">
        <v>0.9</v>
      </c>
      <c r="G289" s="1" t="s">
        <v>458</v>
      </c>
      <c r="H289" s="1" t="s">
        <v>18</v>
      </c>
      <c r="I289" s="1" t="s">
        <v>186</v>
      </c>
      <c r="J289" s="1" t="s">
        <v>459</v>
      </c>
      <c r="K289" s="3">
        <v>1.0</v>
      </c>
    </row>
    <row r="290">
      <c r="A290" s="2">
        <v>46223.493932847225</v>
      </c>
      <c r="B290" s="1" t="s">
        <v>14</v>
      </c>
      <c r="C290" s="1" t="s">
        <v>455</v>
      </c>
      <c r="D290" s="1" t="s">
        <v>455</v>
      </c>
      <c r="E290" s="1" t="s">
        <v>400</v>
      </c>
      <c r="L290" s="1" t="s">
        <v>21</v>
      </c>
    </row>
    <row r="291">
      <c r="A291" s="2">
        <v>46223.49411284723</v>
      </c>
      <c r="B291" s="1" t="s">
        <v>14</v>
      </c>
      <c r="C291" s="1" t="s">
        <v>460</v>
      </c>
      <c r="D291" s="1" t="s">
        <v>460</v>
      </c>
      <c r="E291" s="1" t="s">
        <v>400</v>
      </c>
      <c r="F291" s="3">
        <v>0.9</v>
      </c>
      <c r="G291" s="1" t="s">
        <v>461</v>
      </c>
      <c r="H291" s="1" t="s">
        <v>18</v>
      </c>
      <c r="I291" s="1" t="s">
        <v>186</v>
      </c>
      <c r="J291" s="1" t="s">
        <v>462</v>
      </c>
      <c r="K291" s="3">
        <v>1.0</v>
      </c>
    </row>
    <row r="292">
      <c r="A292" s="2">
        <v>46223.49413068287</v>
      </c>
      <c r="B292" s="1" t="s">
        <v>14</v>
      </c>
      <c r="C292" s="1" t="s">
        <v>406</v>
      </c>
      <c r="D292" s="1" t="s">
        <v>406</v>
      </c>
      <c r="E292" s="1" t="s">
        <v>400</v>
      </c>
      <c r="F292" s="3">
        <v>0.98</v>
      </c>
      <c r="G292" s="1" t="s">
        <v>463</v>
      </c>
      <c r="H292" s="1" t="s">
        <v>18</v>
      </c>
      <c r="I292" s="1" t="s">
        <v>186</v>
      </c>
      <c r="J292" s="1" t="s">
        <v>464</v>
      </c>
      <c r="K292" s="3">
        <v>1.0</v>
      </c>
    </row>
    <row r="293">
      <c r="A293" s="2">
        <v>46223.494188958335</v>
      </c>
      <c r="B293" s="1" t="s">
        <v>14</v>
      </c>
      <c r="C293" s="1" t="s">
        <v>406</v>
      </c>
      <c r="D293" s="1" t="s">
        <v>406</v>
      </c>
      <c r="E293" s="1" t="s">
        <v>400</v>
      </c>
      <c r="L293" s="1" t="s">
        <v>21</v>
      </c>
    </row>
    <row r="294">
      <c r="A294" s="2">
        <v>46223.49419899305</v>
      </c>
      <c r="B294" s="1" t="s">
        <v>14</v>
      </c>
      <c r="C294" s="1" t="s">
        <v>460</v>
      </c>
      <c r="D294" s="1" t="s">
        <v>460</v>
      </c>
      <c r="E294" s="1" t="s">
        <v>400</v>
      </c>
      <c r="L294" s="1" t="s">
        <v>21</v>
      </c>
    </row>
    <row r="295">
      <c r="A295" s="2">
        <v>46223.49429870371</v>
      </c>
      <c r="B295" s="1" t="s">
        <v>14</v>
      </c>
      <c r="C295" s="1" t="s">
        <v>411</v>
      </c>
      <c r="D295" s="1" t="s">
        <v>411</v>
      </c>
      <c r="E295" s="1" t="s">
        <v>400</v>
      </c>
      <c r="F295" s="3">
        <v>0.98</v>
      </c>
      <c r="G295" s="1" t="s">
        <v>465</v>
      </c>
      <c r="H295" s="1" t="s">
        <v>18</v>
      </c>
      <c r="I295" s="1" t="s">
        <v>466</v>
      </c>
      <c r="J295" s="1" t="s">
        <v>467</v>
      </c>
      <c r="K295" s="3">
        <v>1.0</v>
      </c>
    </row>
    <row r="296">
      <c r="A296" s="2">
        <v>46223.494314606476</v>
      </c>
      <c r="B296" s="1" t="s">
        <v>14</v>
      </c>
      <c r="C296" s="1" t="s">
        <v>468</v>
      </c>
      <c r="D296" s="1" t="s">
        <v>468</v>
      </c>
      <c r="E296" s="1" t="s">
        <v>400</v>
      </c>
      <c r="F296" s="3">
        <v>0.99</v>
      </c>
      <c r="G296" s="1" t="s">
        <v>469</v>
      </c>
      <c r="H296" s="1" t="s">
        <v>18</v>
      </c>
      <c r="I296" s="1" t="s">
        <v>402</v>
      </c>
      <c r="J296" s="1" t="s">
        <v>470</v>
      </c>
      <c r="K296" s="3">
        <v>1.0</v>
      </c>
    </row>
    <row r="297">
      <c r="A297" s="2">
        <v>46223.4943704051</v>
      </c>
      <c r="B297" s="1" t="s">
        <v>14</v>
      </c>
      <c r="C297" s="1" t="s">
        <v>411</v>
      </c>
      <c r="D297" s="1" t="s">
        <v>411</v>
      </c>
      <c r="E297" s="1" t="s">
        <v>400</v>
      </c>
      <c r="L297" s="1" t="s">
        <v>21</v>
      </c>
    </row>
    <row r="298">
      <c r="A298" s="2">
        <v>46223.49437717593</v>
      </c>
      <c r="B298" s="1" t="s">
        <v>14</v>
      </c>
      <c r="C298" s="1" t="s">
        <v>468</v>
      </c>
      <c r="D298" s="1" t="s">
        <v>468</v>
      </c>
      <c r="E298" s="1" t="s">
        <v>400</v>
      </c>
      <c r="L298" s="1" t="s">
        <v>21</v>
      </c>
    </row>
    <row r="299">
      <c r="A299" s="2">
        <v>46223.49442971065</v>
      </c>
      <c r="B299" s="1" t="s">
        <v>14</v>
      </c>
      <c r="C299" s="1" t="s">
        <v>468</v>
      </c>
      <c r="D299" s="1" t="s">
        <v>468</v>
      </c>
      <c r="E299" s="1" t="s">
        <v>400</v>
      </c>
      <c r="L299" s="1" t="s">
        <v>22</v>
      </c>
    </row>
    <row r="300">
      <c r="A300" s="2">
        <v>46223.49456283565</v>
      </c>
      <c r="B300" s="1" t="s">
        <v>14</v>
      </c>
      <c r="C300" s="1" t="s">
        <v>471</v>
      </c>
      <c r="D300" s="1" t="s">
        <v>471</v>
      </c>
      <c r="E300" s="1" t="s">
        <v>400</v>
      </c>
      <c r="F300" s="3">
        <v>0.95</v>
      </c>
      <c r="G300" s="1" t="s">
        <v>472</v>
      </c>
      <c r="H300" s="1" t="s">
        <v>18</v>
      </c>
      <c r="I300" s="1" t="s">
        <v>473</v>
      </c>
      <c r="J300" s="1" t="s">
        <v>474</v>
      </c>
      <c r="K300" s="3">
        <v>1.0</v>
      </c>
    </row>
    <row r="301">
      <c r="A301" s="2">
        <v>46223.49461976852</v>
      </c>
      <c r="B301" s="1" t="s">
        <v>14</v>
      </c>
      <c r="C301" s="1" t="s">
        <v>471</v>
      </c>
      <c r="D301" s="1" t="s">
        <v>471</v>
      </c>
      <c r="E301" s="1" t="s">
        <v>400</v>
      </c>
      <c r="L301" s="1" t="s">
        <v>21</v>
      </c>
    </row>
    <row r="302">
      <c r="A302" s="2">
        <v>46223.494647280095</v>
      </c>
      <c r="B302" s="1" t="s">
        <v>14</v>
      </c>
      <c r="C302" s="1" t="s">
        <v>425</v>
      </c>
      <c r="D302" s="1" t="s">
        <v>425</v>
      </c>
      <c r="E302" s="1" t="s">
        <v>400</v>
      </c>
      <c r="F302" s="3">
        <v>0.98</v>
      </c>
      <c r="G302" s="1" t="s">
        <v>475</v>
      </c>
      <c r="H302" s="1" t="s">
        <v>18</v>
      </c>
      <c r="I302" s="1" t="s">
        <v>476</v>
      </c>
      <c r="J302" s="1" t="s">
        <v>477</v>
      </c>
      <c r="K302" s="3">
        <v>1.0</v>
      </c>
    </row>
    <row r="303">
      <c r="A303" s="2">
        <v>46223.4947296412</v>
      </c>
      <c r="B303" s="1" t="s">
        <v>14</v>
      </c>
      <c r="C303" s="1" t="s">
        <v>478</v>
      </c>
      <c r="D303" s="1" t="s">
        <v>478</v>
      </c>
      <c r="E303" s="1" t="s">
        <v>213</v>
      </c>
      <c r="F303" s="3">
        <v>0.95</v>
      </c>
      <c r="G303" s="1" t="s">
        <v>479</v>
      </c>
      <c r="H303" s="1" t="s">
        <v>18</v>
      </c>
      <c r="I303" s="1" t="s">
        <v>39</v>
      </c>
      <c r="J303" s="1" t="s">
        <v>480</v>
      </c>
      <c r="K303" s="3">
        <v>1.0</v>
      </c>
    </row>
    <row r="304">
      <c r="A304" s="2">
        <v>46223.4947434375</v>
      </c>
      <c r="B304" s="1" t="s">
        <v>14</v>
      </c>
      <c r="C304" s="1" t="s">
        <v>425</v>
      </c>
      <c r="D304" s="1" t="s">
        <v>425</v>
      </c>
      <c r="E304" s="1" t="s">
        <v>400</v>
      </c>
      <c r="L304" s="1" t="s">
        <v>21</v>
      </c>
    </row>
    <row r="305">
      <c r="A305" s="2">
        <v>46223.494788703705</v>
      </c>
      <c r="B305" s="1" t="s">
        <v>14</v>
      </c>
      <c r="C305" s="1" t="s">
        <v>478</v>
      </c>
      <c r="D305" s="1" t="s">
        <v>478</v>
      </c>
      <c r="E305" s="1" t="s">
        <v>213</v>
      </c>
      <c r="L305" s="1" t="s">
        <v>21</v>
      </c>
    </row>
    <row r="306">
      <c r="A306" s="2">
        <v>46223.494857893515</v>
      </c>
      <c r="B306" s="1" t="s">
        <v>14</v>
      </c>
      <c r="C306" s="1" t="s">
        <v>432</v>
      </c>
      <c r="D306" s="1" t="s">
        <v>432</v>
      </c>
      <c r="E306" s="1" t="s">
        <v>400</v>
      </c>
      <c r="F306" s="3">
        <v>0.99</v>
      </c>
      <c r="G306" s="1" t="s">
        <v>481</v>
      </c>
      <c r="H306" s="1" t="s">
        <v>18</v>
      </c>
      <c r="I306" s="1" t="s">
        <v>482</v>
      </c>
      <c r="J306" s="1" t="s">
        <v>483</v>
      </c>
      <c r="K306" s="3">
        <v>1.0</v>
      </c>
    </row>
    <row r="307">
      <c r="A307" s="2">
        <v>46223.494913125</v>
      </c>
      <c r="B307" s="1" t="s">
        <v>14</v>
      </c>
      <c r="C307" s="1" t="s">
        <v>432</v>
      </c>
      <c r="D307" s="1" t="s">
        <v>432</v>
      </c>
      <c r="E307" s="1" t="s">
        <v>400</v>
      </c>
      <c r="L307" s="1" t="s">
        <v>21</v>
      </c>
    </row>
    <row r="308">
      <c r="A308" s="2">
        <v>46223.4949166088</v>
      </c>
      <c r="B308" s="1" t="s">
        <v>14</v>
      </c>
      <c r="C308" s="1" t="s">
        <v>484</v>
      </c>
      <c r="D308" s="1" t="s">
        <v>484</v>
      </c>
      <c r="E308" s="1" t="s">
        <v>213</v>
      </c>
      <c r="F308" s="3">
        <v>0.9</v>
      </c>
      <c r="G308" s="1" t="s">
        <v>485</v>
      </c>
      <c r="H308" s="1" t="s">
        <v>18</v>
      </c>
      <c r="I308" s="1" t="s">
        <v>486</v>
      </c>
      <c r="J308" s="1" t="s">
        <v>487</v>
      </c>
      <c r="K308" s="3">
        <v>1.0</v>
      </c>
    </row>
    <row r="309">
      <c r="A309" s="2">
        <v>46223.4949734838</v>
      </c>
      <c r="B309" s="1" t="s">
        <v>14</v>
      </c>
      <c r="C309" s="1" t="s">
        <v>484</v>
      </c>
      <c r="D309" s="1" t="s">
        <v>484</v>
      </c>
      <c r="E309" s="1" t="s">
        <v>213</v>
      </c>
      <c r="L309" s="1" t="s">
        <v>21</v>
      </c>
    </row>
    <row r="310">
      <c r="A310" s="2">
        <v>46223.495016574074</v>
      </c>
      <c r="B310" s="1" t="s">
        <v>14</v>
      </c>
      <c r="C310" s="1" t="s">
        <v>438</v>
      </c>
      <c r="D310" s="1" t="s">
        <v>438</v>
      </c>
      <c r="E310" s="1" t="s">
        <v>400</v>
      </c>
      <c r="F310" s="3">
        <v>0.98</v>
      </c>
      <c r="G310" s="1" t="s">
        <v>488</v>
      </c>
      <c r="H310" s="1" t="s">
        <v>18</v>
      </c>
      <c r="I310" s="1" t="s">
        <v>39</v>
      </c>
      <c r="J310" s="1" t="s">
        <v>489</v>
      </c>
      <c r="K310" s="3">
        <v>1.0</v>
      </c>
    </row>
    <row r="311">
      <c r="A311" s="2">
        <v>46223.49506851852</v>
      </c>
      <c r="B311" s="1" t="s">
        <v>14</v>
      </c>
      <c r="C311" s="1" t="s">
        <v>438</v>
      </c>
      <c r="D311" s="1" t="s">
        <v>438</v>
      </c>
      <c r="E311" s="1" t="s">
        <v>400</v>
      </c>
      <c r="L311" s="1" t="s">
        <v>21</v>
      </c>
    </row>
    <row r="312">
      <c r="A312" s="2">
        <v>46223.495087800926</v>
      </c>
      <c r="B312" s="1" t="s">
        <v>14</v>
      </c>
      <c r="C312" s="1" t="s">
        <v>490</v>
      </c>
      <c r="D312" s="1" t="s">
        <v>490</v>
      </c>
      <c r="E312" s="1" t="s">
        <v>400</v>
      </c>
      <c r="F312" s="3">
        <v>0.95</v>
      </c>
      <c r="G312" s="1" t="s">
        <v>491</v>
      </c>
      <c r="H312" s="1" t="s">
        <v>18</v>
      </c>
      <c r="I312" s="1" t="s">
        <v>492</v>
      </c>
      <c r="J312" s="1" t="s">
        <v>493</v>
      </c>
      <c r="K312" s="3">
        <v>1.0</v>
      </c>
    </row>
    <row r="313">
      <c r="A313" s="2">
        <v>46223.49515170139</v>
      </c>
      <c r="B313" s="1" t="s">
        <v>14</v>
      </c>
      <c r="C313" s="1" t="s">
        <v>490</v>
      </c>
      <c r="D313" s="1" t="s">
        <v>490</v>
      </c>
      <c r="E313" s="1" t="s">
        <v>400</v>
      </c>
      <c r="L313" s="1" t="s">
        <v>21</v>
      </c>
    </row>
    <row r="314">
      <c r="A314" s="2">
        <v>46223.49518336805</v>
      </c>
      <c r="B314" s="1" t="s">
        <v>14</v>
      </c>
      <c r="C314" s="1" t="s">
        <v>443</v>
      </c>
      <c r="D314" s="1" t="s">
        <v>443</v>
      </c>
      <c r="E314" s="1" t="s">
        <v>400</v>
      </c>
      <c r="F314" s="3">
        <v>0.98</v>
      </c>
      <c r="G314" s="1" t="s">
        <v>494</v>
      </c>
      <c r="H314" s="1" t="s">
        <v>18</v>
      </c>
      <c r="I314" s="1" t="s">
        <v>427</v>
      </c>
      <c r="J314" s="1" t="s">
        <v>495</v>
      </c>
      <c r="K314" s="3">
        <v>1.0</v>
      </c>
    </row>
    <row r="315">
      <c r="A315" s="2">
        <v>46223.49527803241</v>
      </c>
      <c r="B315" s="1" t="s">
        <v>14</v>
      </c>
      <c r="C315" s="1" t="s">
        <v>443</v>
      </c>
      <c r="D315" s="1" t="s">
        <v>443</v>
      </c>
      <c r="E315" s="1" t="s">
        <v>400</v>
      </c>
      <c r="L315" s="1" t="s">
        <v>21</v>
      </c>
    </row>
    <row r="316">
      <c r="A316" s="2">
        <v>46223.49530751158</v>
      </c>
      <c r="B316" s="1" t="s">
        <v>14</v>
      </c>
      <c r="C316" s="1" t="s">
        <v>496</v>
      </c>
      <c r="D316" s="1" t="s">
        <v>496</v>
      </c>
      <c r="E316" s="1" t="s">
        <v>135</v>
      </c>
      <c r="F316" s="3">
        <v>0.92</v>
      </c>
      <c r="G316" s="1" t="s">
        <v>497</v>
      </c>
      <c r="H316" s="1" t="s">
        <v>18</v>
      </c>
      <c r="I316" s="1" t="s">
        <v>427</v>
      </c>
      <c r="J316" s="1" t="s">
        <v>498</v>
      </c>
      <c r="K316" s="3">
        <v>1.0</v>
      </c>
    </row>
    <row r="317">
      <c r="A317" s="2">
        <v>46223.49532826389</v>
      </c>
      <c r="B317" s="1" t="s">
        <v>14</v>
      </c>
      <c r="C317" s="1" t="s">
        <v>443</v>
      </c>
      <c r="D317" s="1" t="s">
        <v>443</v>
      </c>
      <c r="E317" s="1" t="s">
        <v>400</v>
      </c>
      <c r="L317" s="1" t="s">
        <v>22</v>
      </c>
    </row>
    <row r="318">
      <c r="A318" s="2">
        <v>46223.49536395833</v>
      </c>
      <c r="B318" s="1" t="s">
        <v>14</v>
      </c>
      <c r="C318" s="1" t="s">
        <v>496</v>
      </c>
      <c r="D318" s="1" t="s">
        <v>496</v>
      </c>
      <c r="E318" s="1" t="s">
        <v>135</v>
      </c>
      <c r="L318" s="1" t="s">
        <v>21</v>
      </c>
    </row>
    <row r="319">
      <c r="A319" s="2">
        <v>46223.49542554398</v>
      </c>
      <c r="B319" s="1" t="s">
        <v>14</v>
      </c>
      <c r="C319" s="1" t="s">
        <v>496</v>
      </c>
      <c r="D319" s="1" t="s">
        <v>496</v>
      </c>
      <c r="E319" s="1" t="s">
        <v>135</v>
      </c>
      <c r="L319" s="1" t="s">
        <v>22</v>
      </c>
    </row>
    <row r="320">
      <c r="A320" s="2">
        <v>46223.49543591435</v>
      </c>
      <c r="B320" s="1" t="s">
        <v>14</v>
      </c>
      <c r="C320" s="1" t="s">
        <v>449</v>
      </c>
      <c r="D320" s="1" t="s">
        <v>449</v>
      </c>
      <c r="E320" s="1" t="s">
        <v>400</v>
      </c>
      <c r="F320" s="3">
        <v>0.98</v>
      </c>
      <c r="G320" s="1" t="s">
        <v>499</v>
      </c>
      <c r="H320" s="1" t="s">
        <v>18</v>
      </c>
      <c r="I320" s="1" t="s">
        <v>500</v>
      </c>
      <c r="J320" s="1" t="s">
        <v>501</v>
      </c>
      <c r="K320" s="3">
        <v>1.0</v>
      </c>
    </row>
    <row r="321">
      <c r="A321" s="2">
        <v>46223.49549099537</v>
      </c>
      <c r="B321" s="1" t="s">
        <v>14</v>
      </c>
      <c r="C321" s="1" t="s">
        <v>449</v>
      </c>
      <c r="D321" s="1" t="s">
        <v>449</v>
      </c>
      <c r="E321" s="1" t="s">
        <v>400</v>
      </c>
      <c r="L321" s="1" t="s">
        <v>21</v>
      </c>
    </row>
    <row r="322">
      <c r="A322" s="2">
        <v>46223.49552783565</v>
      </c>
      <c r="B322" s="1" t="s">
        <v>14</v>
      </c>
      <c r="C322" s="1" t="s">
        <v>502</v>
      </c>
      <c r="D322" s="1" t="s">
        <v>502</v>
      </c>
      <c r="E322" s="1" t="s">
        <v>213</v>
      </c>
      <c r="F322" s="3">
        <v>0.92</v>
      </c>
      <c r="G322" s="1" t="s">
        <v>503</v>
      </c>
      <c r="H322" s="1" t="s">
        <v>18</v>
      </c>
      <c r="I322" s="1" t="s">
        <v>504</v>
      </c>
      <c r="J322" s="1" t="s">
        <v>505</v>
      </c>
      <c r="K322" s="3">
        <v>1.0</v>
      </c>
    </row>
    <row r="323">
      <c r="A323" s="2">
        <v>46223.495587557874</v>
      </c>
      <c r="B323" s="1" t="s">
        <v>14</v>
      </c>
      <c r="C323" s="1" t="s">
        <v>502</v>
      </c>
      <c r="D323" s="1" t="s">
        <v>502</v>
      </c>
      <c r="E323" s="1" t="s">
        <v>213</v>
      </c>
      <c r="L323" s="1" t="s">
        <v>21</v>
      </c>
    </row>
    <row r="324">
      <c r="A324" s="2">
        <v>46223.49559391204</v>
      </c>
      <c r="B324" s="1" t="s">
        <v>14</v>
      </c>
      <c r="C324" s="1" t="s">
        <v>455</v>
      </c>
      <c r="D324" s="1" t="s">
        <v>455</v>
      </c>
      <c r="E324" s="1" t="s">
        <v>400</v>
      </c>
      <c r="F324" s="3">
        <v>0.99</v>
      </c>
      <c r="G324" s="1" t="s">
        <v>506</v>
      </c>
      <c r="H324" s="1" t="s">
        <v>18</v>
      </c>
      <c r="I324" s="1" t="s">
        <v>507</v>
      </c>
      <c r="J324" s="1" t="s">
        <v>508</v>
      </c>
      <c r="K324" s="3">
        <v>1.0</v>
      </c>
    </row>
    <row r="325">
      <c r="A325" s="2">
        <v>46223.495644166665</v>
      </c>
      <c r="B325" s="1" t="s">
        <v>14</v>
      </c>
      <c r="C325" s="1" t="s">
        <v>455</v>
      </c>
      <c r="D325" s="1" t="s">
        <v>455</v>
      </c>
      <c r="E325" s="1" t="s">
        <v>400</v>
      </c>
      <c r="L325" s="1" t="s">
        <v>21</v>
      </c>
    </row>
    <row r="326">
      <c r="A326" s="2">
        <v>46223.49570989583</v>
      </c>
      <c r="B326" s="1" t="s">
        <v>14</v>
      </c>
      <c r="C326" s="1" t="s">
        <v>509</v>
      </c>
      <c r="D326" s="1" t="s">
        <v>509</v>
      </c>
      <c r="E326" s="1" t="s">
        <v>16</v>
      </c>
      <c r="F326" s="3">
        <v>0.95</v>
      </c>
      <c r="G326" s="1" t="s">
        <v>510</v>
      </c>
      <c r="H326" s="1" t="s">
        <v>18</v>
      </c>
      <c r="I326" s="1" t="s">
        <v>19</v>
      </c>
      <c r="J326" s="1" t="s">
        <v>511</v>
      </c>
      <c r="K326" s="3">
        <v>1.0</v>
      </c>
    </row>
    <row r="327">
      <c r="A327" s="2">
        <v>46223.49575747685</v>
      </c>
      <c r="B327" s="1" t="s">
        <v>14</v>
      </c>
      <c r="C327" s="1" t="s">
        <v>509</v>
      </c>
      <c r="D327" s="1" t="s">
        <v>509</v>
      </c>
      <c r="E327" s="1" t="s">
        <v>16</v>
      </c>
      <c r="L327" s="1" t="s">
        <v>21</v>
      </c>
    </row>
    <row r="328">
      <c r="A328" s="2">
        <v>46223.49582964121</v>
      </c>
      <c r="B328" s="1" t="s">
        <v>14</v>
      </c>
      <c r="C328" s="1" t="s">
        <v>512</v>
      </c>
      <c r="D328" s="1" t="s">
        <v>512</v>
      </c>
      <c r="E328" s="1" t="s">
        <v>400</v>
      </c>
      <c r="F328" s="3">
        <v>0.95</v>
      </c>
      <c r="G328" s="1" t="s">
        <v>513</v>
      </c>
      <c r="H328" s="1" t="s">
        <v>18</v>
      </c>
      <c r="I328" s="1" t="s">
        <v>514</v>
      </c>
      <c r="J328" s="1" t="s">
        <v>515</v>
      </c>
      <c r="K328" s="3">
        <v>1.0</v>
      </c>
    </row>
    <row r="329">
      <c r="A329" s="2">
        <v>46223.495884502314</v>
      </c>
      <c r="B329" s="1" t="s">
        <v>14</v>
      </c>
      <c r="C329" s="1" t="s">
        <v>516</v>
      </c>
      <c r="D329" s="1" t="s">
        <v>516</v>
      </c>
      <c r="E329" s="1" t="s">
        <v>262</v>
      </c>
      <c r="F329" s="3">
        <v>0.95</v>
      </c>
      <c r="G329" s="1" t="s">
        <v>517</v>
      </c>
      <c r="H329" s="1" t="s">
        <v>18</v>
      </c>
      <c r="I329" s="1" t="s">
        <v>518</v>
      </c>
      <c r="J329" s="1" t="s">
        <v>519</v>
      </c>
      <c r="K329" s="3">
        <v>1.0</v>
      </c>
    </row>
    <row r="330">
      <c r="A330" s="2">
        <v>46223.495925358795</v>
      </c>
      <c r="B330" s="1" t="s">
        <v>14</v>
      </c>
      <c r="C330" s="1" t="s">
        <v>512</v>
      </c>
      <c r="D330" s="1" t="s">
        <v>512</v>
      </c>
      <c r="E330" s="1" t="s">
        <v>400</v>
      </c>
      <c r="L330" s="1" t="s">
        <v>21</v>
      </c>
    </row>
    <row r="331">
      <c r="A331" s="2">
        <v>46223.49603043981</v>
      </c>
      <c r="B331" s="1" t="s">
        <v>14</v>
      </c>
      <c r="C331" s="1" t="s">
        <v>520</v>
      </c>
      <c r="D331" s="1" t="s">
        <v>520</v>
      </c>
      <c r="E331" s="1" t="s">
        <v>234</v>
      </c>
      <c r="F331" s="3">
        <v>0.95</v>
      </c>
      <c r="G331" s="1" t="s">
        <v>521</v>
      </c>
      <c r="H331" s="1" t="s">
        <v>18</v>
      </c>
      <c r="I331" s="1" t="s">
        <v>522</v>
      </c>
      <c r="J331" s="1" t="s">
        <v>523</v>
      </c>
      <c r="K331" s="3">
        <v>1.0</v>
      </c>
    </row>
    <row r="332">
      <c r="A332" s="2">
        <v>46223.4961037037</v>
      </c>
      <c r="B332" s="1" t="s">
        <v>14</v>
      </c>
      <c r="C332" s="1" t="s">
        <v>468</v>
      </c>
      <c r="D332" s="1" t="s">
        <v>468</v>
      </c>
      <c r="E332" s="1" t="s">
        <v>400</v>
      </c>
      <c r="F332" s="3">
        <v>0.98</v>
      </c>
      <c r="G332" s="1" t="s">
        <v>524</v>
      </c>
      <c r="H332" s="1" t="s">
        <v>18</v>
      </c>
      <c r="I332" s="1" t="s">
        <v>402</v>
      </c>
      <c r="J332" s="1" t="s">
        <v>525</v>
      </c>
      <c r="K332" s="3">
        <v>1.0</v>
      </c>
    </row>
    <row r="333">
      <c r="A333" s="2">
        <v>46223.49616577546</v>
      </c>
      <c r="B333" s="1" t="s">
        <v>14</v>
      </c>
      <c r="C333" s="1" t="s">
        <v>468</v>
      </c>
      <c r="D333" s="1" t="s">
        <v>468</v>
      </c>
      <c r="E333" s="1" t="s">
        <v>400</v>
      </c>
      <c r="L333" s="1" t="s">
        <v>21</v>
      </c>
    </row>
    <row r="334">
      <c r="A334" s="2">
        <v>46223.49617174768</v>
      </c>
      <c r="B334" s="1" t="s">
        <v>14</v>
      </c>
      <c r="C334" s="1" t="s">
        <v>526</v>
      </c>
      <c r="D334" s="1" t="s">
        <v>526</v>
      </c>
      <c r="E334" s="1" t="s">
        <v>16</v>
      </c>
      <c r="F334" s="3">
        <v>0.95</v>
      </c>
      <c r="G334" s="1" t="s">
        <v>527</v>
      </c>
      <c r="H334" s="1" t="s">
        <v>18</v>
      </c>
      <c r="I334" s="1" t="s">
        <v>19</v>
      </c>
      <c r="J334" s="1" t="s">
        <v>528</v>
      </c>
      <c r="K334" s="3">
        <v>1.0</v>
      </c>
    </row>
    <row r="335">
      <c r="A335" s="2">
        <v>46223.49622552084</v>
      </c>
      <c r="B335" s="1" t="s">
        <v>14</v>
      </c>
      <c r="C335" s="1" t="s">
        <v>468</v>
      </c>
      <c r="D335" s="1" t="s">
        <v>468</v>
      </c>
      <c r="E335" s="1" t="s">
        <v>400</v>
      </c>
      <c r="L335" s="1" t="s">
        <v>22</v>
      </c>
    </row>
    <row r="336">
      <c r="A336" s="2">
        <v>46223.49630396991</v>
      </c>
      <c r="B336" s="1" t="s">
        <v>14</v>
      </c>
      <c r="C336" s="1" t="s">
        <v>526</v>
      </c>
      <c r="D336" s="1" t="s">
        <v>526</v>
      </c>
      <c r="E336" s="1" t="s">
        <v>16</v>
      </c>
      <c r="L336" s="1" t="s">
        <v>21</v>
      </c>
    </row>
    <row r="337">
      <c r="A337" s="2">
        <v>46223.496363391205</v>
      </c>
      <c r="B337" s="1" t="s">
        <v>14</v>
      </c>
      <c r="C337" s="1" t="s">
        <v>471</v>
      </c>
      <c r="D337" s="1" t="s">
        <v>471</v>
      </c>
      <c r="E337" s="1" t="s">
        <v>400</v>
      </c>
      <c r="F337" s="3">
        <v>0.95</v>
      </c>
      <c r="G337" s="1" t="s">
        <v>529</v>
      </c>
      <c r="H337" s="1" t="s">
        <v>18</v>
      </c>
      <c r="I337" s="1" t="s">
        <v>530</v>
      </c>
      <c r="J337" s="1" t="s">
        <v>531</v>
      </c>
      <c r="K337" s="3">
        <v>1.0</v>
      </c>
    </row>
    <row r="338">
      <c r="A338" s="2">
        <v>46223.496391134264</v>
      </c>
      <c r="B338" s="1" t="s">
        <v>14</v>
      </c>
      <c r="C338" s="1" t="s">
        <v>526</v>
      </c>
      <c r="D338" s="1" t="s">
        <v>526</v>
      </c>
      <c r="E338" s="1" t="s">
        <v>16</v>
      </c>
      <c r="L338" s="1" t="s">
        <v>22</v>
      </c>
    </row>
    <row r="339">
      <c r="A339" s="2">
        <v>46223.496423703706</v>
      </c>
      <c r="B339" s="1" t="s">
        <v>14</v>
      </c>
      <c r="C339" s="1" t="s">
        <v>471</v>
      </c>
      <c r="D339" s="1" t="s">
        <v>471</v>
      </c>
      <c r="E339" s="1" t="s">
        <v>400</v>
      </c>
      <c r="L339" s="1" t="s">
        <v>21</v>
      </c>
    </row>
    <row r="340">
      <c r="A340" s="2">
        <v>46223.49650310185</v>
      </c>
      <c r="B340" s="1" t="s">
        <v>14</v>
      </c>
      <c r="C340" s="1" t="s">
        <v>532</v>
      </c>
      <c r="D340" s="1" t="s">
        <v>532</v>
      </c>
      <c r="E340" s="1" t="s">
        <v>400</v>
      </c>
      <c r="F340" s="3">
        <v>0.98</v>
      </c>
      <c r="G340" s="1" t="s">
        <v>533</v>
      </c>
      <c r="H340" s="1" t="s">
        <v>18</v>
      </c>
      <c r="I340" s="1" t="s">
        <v>391</v>
      </c>
      <c r="J340" s="1" t="s">
        <v>534</v>
      </c>
      <c r="K340" s="3">
        <v>1.0</v>
      </c>
    </row>
    <row r="341">
      <c r="A341" s="2">
        <v>46223.49654893519</v>
      </c>
      <c r="B341" s="1" t="s">
        <v>14</v>
      </c>
      <c r="C341" s="1" t="s">
        <v>478</v>
      </c>
      <c r="D341" s="1" t="s">
        <v>478</v>
      </c>
      <c r="E341" s="1" t="s">
        <v>400</v>
      </c>
      <c r="F341" s="3">
        <v>0.98</v>
      </c>
      <c r="G341" s="1" t="s">
        <v>535</v>
      </c>
      <c r="H341" s="1" t="s">
        <v>18</v>
      </c>
      <c r="I341" s="1" t="s">
        <v>39</v>
      </c>
      <c r="J341" s="1" t="s">
        <v>536</v>
      </c>
      <c r="K341" s="3">
        <v>1.0</v>
      </c>
    </row>
    <row r="342">
      <c r="A342" s="2">
        <v>46223.49657141203</v>
      </c>
      <c r="B342" s="1" t="s">
        <v>14</v>
      </c>
      <c r="C342" s="1" t="s">
        <v>532</v>
      </c>
      <c r="D342" s="1" t="s">
        <v>532</v>
      </c>
      <c r="E342" s="1" t="s">
        <v>400</v>
      </c>
      <c r="L342" s="1" t="s">
        <v>21</v>
      </c>
    </row>
    <row r="343">
      <c r="A343" s="2">
        <v>46223.49660287037</v>
      </c>
      <c r="B343" s="1" t="s">
        <v>14</v>
      </c>
      <c r="C343" s="1" t="s">
        <v>478</v>
      </c>
      <c r="D343" s="1" t="s">
        <v>478</v>
      </c>
      <c r="E343" s="1" t="s">
        <v>400</v>
      </c>
      <c r="L343" s="1" t="s">
        <v>21</v>
      </c>
    </row>
    <row r="344">
      <c r="A344" s="2">
        <v>46223.49673162037</v>
      </c>
      <c r="B344" s="1" t="s">
        <v>14</v>
      </c>
      <c r="C344" s="1" t="s">
        <v>484</v>
      </c>
      <c r="D344" s="1" t="s">
        <v>484</v>
      </c>
      <c r="E344" s="1" t="s">
        <v>213</v>
      </c>
      <c r="F344" s="3">
        <v>0.95</v>
      </c>
      <c r="G344" s="1" t="s">
        <v>537</v>
      </c>
      <c r="H344" s="1" t="s">
        <v>18</v>
      </c>
      <c r="I344" s="1" t="s">
        <v>39</v>
      </c>
      <c r="J344" s="1" t="s">
        <v>538</v>
      </c>
      <c r="K344" s="3">
        <v>1.0</v>
      </c>
    </row>
    <row r="345">
      <c r="A345" s="2">
        <v>46223.496750081016</v>
      </c>
      <c r="B345" s="1" t="s">
        <v>14</v>
      </c>
      <c r="C345" s="1" t="s">
        <v>539</v>
      </c>
      <c r="D345" s="1" t="s">
        <v>539</v>
      </c>
      <c r="E345" s="1" t="s">
        <v>213</v>
      </c>
      <c r="F345" s="3">
        <v>0.9</v>
      </c>
      <c r="G345" s="1" t="s">
        <v>540</v>
      </c>
      <c r="H345" s="1" t="s">
        <v>18</v>
      </c>
      <c r="I345" s="1" t="s">
        <v>19</v>
      </c>
      <c r="J345" s="1" t="s">
        <v>541</v>
      </c>
      <c r="K345" s="3">
        <v>1.0</v>
      </c>
    </row>
    <row r="346">
      <c r="A346" s="2">
        <v>46223.496790879624</v>
      </c>
      <c r="B346" s="1" t="s">
        <v>14</v>
      </c>
      <c r="C346" s="1" t="s">
        <v>484</v>
      </c>
      <c r="D346" s="1" t="s">
        <v>484</v>
      </c>
      <c r="E346" s="1" t="s">
        <v>213</v>
      </c>
      <c r="L346" s="1" t="s">
        <v>21</v>
      </c>
    </row>
    <row r="347">
      <c r="A347" s="2">
        <v>46223.496859942126</v>
      </c>
      <c r="B347" s="1" t="s">
        <v>14</v>
      </c>
      <c r="C347" s="1" t="s">
        <v>539</v>
      </c>
      <c r="D347" s="1" t="s">
        <v>539</v>
      </c>
      <c r="E347" s="1" t="s">
        <v>213</v>
      </c>
      <c r="L347" s="1" t="s">
        <v>21</v>
      </c>
    </row>
    <row r="348">
      <c r="A348" s="2">
        <v>46223.49690362268</v>
      </c>
      <c r="B348" s="1" t="s">
        <v>14</v>
      </c>
      <c r="C348" s="1" t="s">
        <v>490</v>
      </c>
      <c r="D348" s="1" t="s">
        <v>490</v>
      </c>
      <c r="E348" s="1" t="s">
        <v>400</v>
      </c>
      <c r="F348" s="3">
        <v>0.9</v>
      </c>
      <c r="G348" s="1" t="s">
        <v>542</v>
      </c>
      <c r="H348" s="1" t="s">
        <v>18</v>
      </c>
      <c r="I348" s="1" t="s">
        <v>92</v>
      </c>
      <c r="J348" s="1" t="s">
        <v>543</v>
      </c>
      <c r="K348" s="3">
        <v>1.0</v>
      </c>
    </row>
    <row r="349">
      <c r="A349" s="2">
        <v>46223.496958738426</v>
      </c>
      <c r="B349" s="1" t="s">
        <v>14</v>
      </c>
      <c r="C349" s="1" t="s">
        <v>490</v>
      </c>
      <c r="D349" s="1" t="s">
        <v>490</v>
      </c>
      <c r="E349" s="1" t="s">
        <v>400</v>
      </c>
      <c r="L349" s="1" t="s">
        <v>21</v>
      </c>
    </row>
    <row r="350">
      <c r="A350" s="2">
        <v>46223.49696425926</v>
      </c>
      <c r="B350" s="1" t="s">
        <v>14</v>
      </c>
      <c r="C350" s="1" t="s">
        <v>539</v>
      </c>
      <c r="D350" s="1" t="s">
        <v>539</v>
      </c>
      <c r="E350" s="1" t="s">
        <v>213</v>
      </c>
      <c r="L350" s="1" t="s">
        <v>22</v>
      </c>
    </row>
    <row r="351">
      <c r="A351" s="2">
        <v>46223.49705893519</v>
      </c>
      <c r="B351" s="1" t="s">
        <v>14</v>
      </c>
      <c r="C351" s="1" t="s">
        <v>544</v>
      </c>
      <c r="D351" s="1" t="s">
        <v>544</v>
      </c>
      <c r="E351" s="1" t="s">
        <v>234</v>
      </c>
      <c r="F351" s="3">
        <v>0.98</v>
      </c>
      <c r="G351" s="1" t="s">
        <v>545</v>
      </c>
      <c r="H351" s="1" t="s">
        <v>18</v>
      </c>
      <c r="I351" s="1" t="s">
        <v>277</v>
      </c>
      <c r="J351" s="1" t="s">
        <v>546</v>
      </c>
      <c r="K351" s="3">
        <v>1.0</v>
      </c>
    </row>
    <row r="352">
      <c r="A352" s="2">
        <v>46223.49710826389</v>
      </c>
      <c r="B352" s="1" t="s">
        <v>14</v>
      </c>
      <c r="C352" s="1" t="s">
        <v>496</v>
      </c>
      <c r="D352" s="1" t="s">
        <v>496</v>
      </c>
      <c r="E352" s="1" t="s">
        <v>135</v>
      </c>
      <c r="F352" s="3">
        <v>0.95</v>
      </c>
      <c r="G352" s="1" t="s">
        <v>547</v>
      </c>
      <c r="H352" s="1" t="s">
        <v>18</v>
      </c>
      <c r="I352" s="1" t="s">
        <v>548</v>
      </c>
      <c r="J352" s="1" t="s">
        <v>549</v>
      </c>
      <c r="K352" s="3">
        <v>1.0</v>
      </c>
    </row>
    <row r="353">
      <c r="A353" s="2">
        <v>46223.49717267361</v>
      </c>
      <c r="B353" s="1" t="s">
        <v>14</v>
      </c>
      <c r="C353" s="1" t="s">
        <v>496</v>
      </c>
      <c r="D353" s="1" t="s">
        <v>496</v>
      </c>
      <c r="E353" s="1" t="s">
        <v>135</v>
      </c>
      <c r="L353" s="1" t="s">
        <v>21</v>
      </c>
    </row>
    <row r="354">
      <c r="A354" s="2">
        <v>46223.49723168982</v>
      </c>
      <c r="B354" s="1" t="s">
        <v>14</v>
      </c>
      <c r="C354" s="1" t="s">
        <v>550</v>
      </c>
      <c r="D354" s="1" t="s">
        <v>550</v>
      </c>
      <c r="E354" s="1" t="s">
        <v>16</v>
      </c>
      <c r="F354" s="3">
        <v>0.9</v>
      </c>
      <c r="G354" s="1" t="s">
        <v>551</v>
      </c>
      <c r="H354" s="1" t="s">
        <v>18</v>
      </c>
      <c r="I354" s="1" t="s">
        <v>552</v>
      </c>
      <c r="J354" s="1" t="s">
        <v>553</v>
      </c>
      <c r="K354" s="3">
        <v>1.0</v>
      </c>
    </row>
    <row r="355">
      <c r="A355" s="2">
        <v>46223.49725138889</v>
      </c>
      <c r="B355" s="1" t="s">
        <v>14</v>
      </c>
      <c r="C355" s="1" t="s">
        <v>496</v>
      </c>
      <c r="D355" s="1" t="s">
        <v>496</v>
      </c>
      <c r="E355" s="1" t="s">
        <v>135</v>
      </c>
      <c r="L355" s="1" t="s">
        <v>22</v>
      </c>
    </row>
    <row r="356">
      <c r="A356" s="2">
        <v>46223.49729357639</v>
      </c>
      <c r="B356" s="1" t="s">
        <v>14</v>
      </c>
      <c r="C356" s="1" t="s">
        <v>550</v>
      </c>
      <c r="D356" s="1" t="s">
        <v>550</v>
      </c>
      <c r="E356" s="1" t="s">
        <v>16</v>
      </c>
      <c r="L356" s="1" t="s">
        <v>21</v>
      </c>
    </row>
    <row r="357">
      <c r="A357" s="2">
        <v>46223.497375127314</v>
      </c>
      <c r="B357" s="1" t="s">
        <v>14</v>
      </c>
      <c r="C357" s="1" t="s">
        <v>502</v>
      </c>
      <c r="D357" s="1" t="s">
        <v>502</v>
      </c>
      <c r="E357" s="1" t="s">
        <v>213</v>
      </c>
      <c r="F357" s="3">
        <v>0.98</v>
      </c>
      <c r="G357" s="1" t="s">
        <v>554</v>
      </c>
      <c r="H357" s="1" t="s">
        <v>18</v>
      </c>
      <c r="I357" s="1" t="s">
        <v>555</v>
      </c>
      <c r="J357" s="1" t="s">
        <v>556</v>
      </c>
      <c r="K357" s="3">
        <v>1.0</v>
      </c>
    </row>
    <row r="358">
      <c r="A358" s="2">
        <v>46223.49739211806</v>
      </c>
      <c r="B358" s="1" t="s">
        <v>14</v>
      </c>
      <c r="C358" s="1" t="s">
        <v>550</v>
      </c>
      <c r="D358" s="1" t="s">
        <v>550</v>
      </c>
      <c r="E358" s="1" t="s">
        <v>16</v>
      </c>
      <c r="L358" s="1" t="s">
        <v>22</v>
      </c>
    </row>
    <row r="359">
      <c r="A359" s="2">
        <v>46223.49743236111</v>
      </c>
      <c r="B359" s="1" t="s">
        <v>14</v>
      </c>
      <c r="C359" s="1" t="s">
        <v>502</v>
      </c>
      <c r="D359" s="1" t="s">
        <v>502</v>
      </c>
      <c r="E359" s="1" t="s">
        <v>213</v>
      </c>
      <c r="L359" s="1" t="s">
        <v>21</v>
      </c>
    </row>
    <row r="360">
      <c r="A360" s="2">
        <v>46223.49749502315</v>
      </c>
      <c r="B360" s="1" t="s">
        <v>14</v>
      </c>
      <c r="C360" s="1" t="s">
        <v>557</v>
      </c>
      <c r="D360" s="1" t="s">
        <v>557</v>
      </c>
      <c r="E360" s="1" t="s">
        <v>16</v>
      </c>
      <c r="F360" s="3">
        <v>0.95</v>
      </c>
      <c r="G360" s="1" t="s">
        <v>558</v>
      </c>
      <c r="H360" s="1" t="s">
        <v>18</v>
      </c>
      <c r="I360" s="1" t="s">
        <v>32</v>
      </c>
      <c r="J360" s="1" t="s">
        <v>559</v>
      </c>
      <c r="K360" s="3">
        <v>1.0</v>
      </c>
    </row>
    <row r="361">
      <c r="A361" s="2">
        <v>46223.49756847222</v>
      </c>
      <c r="B361" s="1" t="s">
        <v>14</v>
      </c>
      <c r="C361" s="1" t="s">
        <v>509</v>
      </c>
      <c r="D361" s="1" t="s">
        <v>509</v>
      </c>
      <c r="E361" s="1" t="s">
        <v>16</v>
      </c>
      <c r="F361" s="3">
        <v>0.95</v>
      </c>
      <c r="G361" s="1" t="s">
        <v>560</v>
      </c>
      <c r="H361" s="1" t="s">
        <v>18</v>
      </c>
      <c r="I361" s="1" t="s">
        <v>39</v>
      </c>
      <c r="J361" s="1" t="s">
        <v>561</v>
      </c>
      <c r="K361" s="3">
        <v>1.0</v>
      </c>
    </row>
    <row r="362">
      <c r="A362" s="2">
        <v>46223.497586157406</v>
      </c>
      <c r="B362" s="1" t="s">
        <v>14</v>
      </c>
      <c r="C362" s="1" t="s">
        <v>557</v>
      </c>
      <c r="D362" s="1" t="s">
        <v>557</v>
      </c>
      <c r="E362" s="1" t="s">
        <v>16</v>
      </c>
      <c r="L362" s="1" t="s">
        <v>21</v>
      </c>
    </row>
    <row r="363">
      <c r="A363" s="2">
        <v>46223.497624571755</v>
      </c>
      <c r="B363" s="1" t="s">
        <v>14</v>
      </c>
      <c r="C363" s="1" t="s">
        <v>509</v>
      </c>
      <c r="D363" s="1" t="s">
        <v>509</v>
      </c>
      <c r="E363" s="1" t="s">
        <v>16</v>
      </c>
      <c r="L363" s="1" t="s">
        <v>21</v>
      </c>
    </row>
    <row r="364">
      <c r="A364" s="2">
        <v>46223.497662407404</v>
      </c>
      <c r="B364" s="1" t="s">
        <v>14</v>
      </c>
      <c r="C364" s="1" t="s">
        <v>557</v>
      </c>
      <c r="D364" s="1" t="s">
        <v>557</v>
      </c>
      <c r="E364" s="1" t="s">
        <v>16</v>
      </c>
      <c r="L364" s="1" t="s">
        <v>22</v>
      </c>
    </row>
    <row r="365">
      <c r="A365" s="2">
        <v>46223.49776547454</v>
      </c>
      <c r="B365" s="1" t="s">
        <v>14</v>
      </c>
      <c r="C365" s="1" t="s">
        <v>516</v>
      </c>
      <c r="D365" s="1" t="s">
        <v>516</v>
      </c>
      <c r="E365" s="1" t="s">
        <v>262</v>
      </c>
      <c r="F365" s="3">
        <v>0.95</v>
      </c>
      <c r="G365" s="1" t="s">
        <v>562</v>
      </c>
      <c r="H365" s="1" t="s">
        <v>18</v>
      </c>
      <c r="I365" s="1" t="s">
        <v>186</v>
      </c>
      <c r="J365" s="1" t="s">
        <v>563</v>
      </c>
      <c r="K365" s="3">
        <v>1.0</v>
      </c>
    </row>
    <row r="366">
      <c r="A366" s="2">
        <v>46223.497812650465</v>
      </c>
      <c r="B366" s="1" t="s">
        <v>14</v>
      </c>
      <c r="C366" s="1" t="s">
        <v>564</v>
      </c>
      <c r="D366" s="1" t="s">
        <v>564</v>
      </c>
      <c r="E366" s="1" t="s">
        <v>234</v>
      </c>
      <c r="F366" s="3">
        <v>0.92</v>
      </c>
      <c r="G366" s="1" t="s">
        <v>565</v>
      </c>
      <c r="H366" s="1" t="s">
        <v>18</v>
      </c>
      <c r="I366" s="1" t="s">
        <v>566</v>
      </c>
      <c r="J366" s="1" t="s">
        <v>567</v>
      </c>
      <c r="K366" s="3">
        <v>1.0</v>
      </c>
    </row>
    <row r="367">
      <c r="A367" s="2">
        <v>46223.49789460648</v>
      </c>
      <c r="B367" s="1" t="s">
        <v>14</v>
      </c>
      <c r="C367" s="1" t="s">
        <v>520</v>
      </c>
      <c r="D367" s="1" t="s">
        <v>520</v>
      </c>
      <c r="E367" s="1" t="s">
        <v>234</v>
      </c>
      <c r="F367" s="3">
        <v>0.95</v>
      </c>
      <c r="G367" s="1" t="s">
        <v>568</v>
      </c>
      <c r="H367" s="1" t="s">
        <v>18</v>
      </c>
      <c r="I367" s="1" t="s">
        <v>569</v>
      </c>
      <c r="J367" s="1" t="s">
        <v>570</v>
      </c>
      <c r="K367" s="3">
        <v>1.0</v>
      </c>
    </row>
    <row r="368">
      <c r="A368" s="2">
        <v>46223.49795981482</v>
      </c>
      <c r="B368" s="1" t="s">
        <v>14</v>
      </c>
      <c r="C368" s="1" t="s">
        <v>571</v>
      </c>
      <c r="D368" s="1" t="s">
        <v>571</v>
      </c>
      <c r="E368" s="1" t="s">
        <v>234</v>
      </c>
      <c r="F368" s="3">
        <v>0.95</v>
      </c>
      <c r="G368" s="1" t="s">
        <v>572</v>
      </c>
      <c r="H368" s="1" t="s">
        <v>18</v>
      </c>
      <c r="I368" s="1" t="s">
        <v>573</v>
      </c>
      <c r="J368" s="1" t="s">
        <v>574</v>
      </c>
      <c r="K368" s="3">
        <v>1.0</v>
      </c>
    </row>
    <row r="369">
      <c r="A369" s="2">
        <v>46223.49802020833</v>
      </c>
      <c r="B369" s="1" t="s">
        <v>14</v>
      </c>
      <c r="C369" s="1" t="s">
        <v>526</v>
      </c>
      <c r="D369" s="1" t="s">
        <v>526</v>
      </c>
      <c r="E369" s="1" t="s">
        <v>16</v>
      </c>
      <c r="F369" s="3">
        <v>0.95</v>
      </c>
      <c r="G369" s="1" t="s">
        <v>575</v>
      </c>
      <c r="H369" s="1" t="s">
        <v>18</v>
      </c>
      <c r="I369" s="1" t="s">
        <v>43</v>
      </c>
      <c r="J369" s="1" t="s">
        <v>576</v>
      </c>
      <c r="K369" s="3">
        <v>1.0</v>
      </c>
    </row>
    <row r="370">
      <c r="A370" s="2">
        <v>46223.49812916666</v>
      </c>
      <c r="B370" s="1" t="s">
        <v>14</v>
      </c>
      <c r="C370" s="1" t="s">
        <v>526</v>
      </c>
      <c r="D370" s="1" t="s">
        <v>526</v>
      </c>
      <c r="E370" s="1" t="s">
        <v>16</v>
      </c>
      <c r="L370" s="1" t="s">
        <v>21</v>
      </c>
    </row>
    <row r="371">
      <c r="A371" s="2">
        <v>46223.49821592592</v>
      </c>
      <c r="B371" s="1" t="s">
        <v>14</v>
      </c>
      <c r="C371" s="1" t="s">
        <v>526</v>
      </c>
      <c r="D371" s="1" t="s">
        <v>526</v>
      </c>
      <c r="E371" s="1" t="s">
        <v>16</v>
      </c>
      <c r="L371" s="1" t="s">
        <v>22</v>
      </c>
    </row>
    <row r="372">
      <c r="A372" s="2">
        <v>46223.498334965276</v>
      </c>
      <c r="B372" s="1" t="s">
        <v>14</v>
      </c>
      <c r="C372" s="1" t="s">
        <v>532</v>
      </c>
      <c r="D372" s="1" t="s">
        <v>532</v>
      </c>
      <c r="E372" s="1" t="s">
        <v>400</v>
      </c>
      <c r="F372" s="3">
        <v>0.99</v>
      </c>
      <c r="G372" s="1" t="s">
        <v>577</v>
      </c>
      <c r="H372" s="1" t="s">
        <v>18</v>
      </c>
      <c r="I372" s="1" t="s">
        <v>391</v>
      </c>
      <c r="J372" s="1" t="s">
        <v>578</v>
      </c>
      <c r="K372" s="3">
        <v>1.0</v>
      </c>
    </row>
    <row r="373">
      <c r="A373" s="2">
        <v>46223.49840116898</v>
      </c>
      <c r="B373" s="1" t="s">
        <v>14</v>
      </c>
      <c r="C373" s="1" t="s">
        <v>532</v>
      </c>
      <c r="D373" s="1" t="s">
        <v>532</v>
      </c>
      <c r="E373" s="1" t="s">
        <v>400</v>
      </c>
      <c r="L373" s="1" t="s">
        <v>21</v>
      </c>
    </row>
    <row r="374">
      <c r="A374" s="2">
        <v>46223.49853144676</v>
      </c>
      <c r="B374" s="1" t="s">
        <v>14</v>
      </c>
      <c r="C374" s="1" t="s">
        <v>539</v>
      </c>
      <c r="D374" s="1" t="s">
        <v>539</v>
      </c>
      <c r="E374" s="1" t="s">
        <v>234</v>
      </c>
      <c r="F374" s="3">
        <v>0.9</v>
      </c>
      <c r="G374" s="1" t="s">
        <v>579</v>
      </c>
      <c r="H374" s="1" t="s">
        <v>18</v>
      </c>
      <c r="I374" s="1" t="s">
        <v>580</v>
      </c>
      <c r="J374" s="1" t="s">
        <v>581</v>
      </c>
      <c r="K374" s="3">
        <v>1.0</v>
      </c>
    </row>
    <row r="375">
      <c r="A375" s="2">
        <v>46223.49867194444</v>
      </c>
      <c r="B375" s="1" t="s">
        <v>14</v>
      </c>
      <c r="C375" s="1" t="s">
        <v>544</v>
      </c>
      <c r="D375" s="1" t="s">
        <v>544</v>
      </c>
      <c r="E375" s="1" t="s">
        <v>234</v>
      </c>
      <c r="F375" s="3">
        <v>0.98</v>
      </c>
      <c r="G375" s="1" t="s">
        <v>582</v>
      </c>
      <c r="H375" s="1" t="s">
        <v>18</v>
      </c>
      <c r="I375" s="1" t="s">
        <v>583</v>
      </c>
      <c r="J375" s="1" t="s">
        <v>584</v>
      </c>
      <c r="K375" s="3">
        <v>1.0</v>
      </c>
    </row>
    <row r="376">
      <c r="A376" s="2">
        <v>46223.49880552084</v>
      </c>
      <c r="B376" s="1" t="s">
        <v>14</v>
      </c>
      <c r="C376" s="1" t="s">
        <v>550</v>
      </c>
      <c r="D376" s="1" t="s">
        <v>550</v>
      </c>
      <c r="E376" s="1" t="s">
        <v>16</v>
      </c>
      <c r="F376" s="3">
        <v>0.9</v>
      </c>
      <c r="G376" s="1" t="s">
        <v>585</v>
      </c>
      <c r="H376" s="1" t="s">
        <v>18</v>
      </c>
      <c r="I376" s="1" t="s">
        <v>552</v>
      </c>
      <c r="J376" s="1" t="s">
        <v>586</v>
      </c>
      <c r="K376" s="3">
        <v>1.0</v>
      </c>
    </row>
    <row r="377">
      <c r="A377" s="2">
        <v>46223.49893006944</v>
      </c>
      <c r="B377" s="1" t="s">
        <v>14</v>
      </c>
      <c r="C377" s="1" t="s">
        <v>550</v>
      </c>
      <c r="D377" s="1" t="s">
        <v>550</v>
      </c>
      <c r="E377" s="1" t="s">
        <v>16</v>
      </c>
      <c r="L377" s="1" t="s">
        <v>21</v>
      </c>
    </row>
    <row r="378">
      <c r="A378" s="2">
        <v>46223.4990350463</v>
      </c>
      <c r="B378" s="1" t="s">
        <v>14</v>
      </c>
      <c r="C378" s="1" t="s">
        <v>557</v>
      </c>
      <c r="D378" s="1" t="s">
        <v>557</v>
      </c>
      <c r="E378" s="1" t="s">
        <v>16</v>
      </c>
      <c r="F378" s="3">
        <v>0.97</v>
      </c>
      <c r="G378" s="1" t="s">
        <v>587</v>
      </c>
      <c r="H378" s="1" t="s">
        <v>18</v>
      </c>
      <c r="I378" s="1" t="s">
        <v>19</v>
      </c>
      <c r="J378" s="1" t="s">
        <v>588</v>
      </c>
      <c r="K378" s="3">
        <v>1.0</v>
      </c>
    </row>
    <row r="379">
      <c r="A379" s="2">
        <v>46223.49909493055</v>
      </c>
      <c r="B379" s="1" t="s">
        <v>14</v>
      </c>
      <c r="C379" s="1" t="s">
        <v>557</v>
      </c>
      <c r="D379" s="1" t="s">
        <v>557</v>
      </c>
      <c r="E379" s="1" t="s">
        <v>16</v>
      </c>
      <c r="L379" s="1" t="s">
        <v>21</v>
      </c>
    </row>
    <row r="380">
      <c r="A380" s="2">
        <v>46223.49914666667</v>
      </c>
      <c r="B380" s="1" t="s">
        <v>14</v>
      </c>
      <c r="C380" s="1" t="s">
        <v>557</v>
      </c>
      <c r="D380" s="1" t="s">
        <v>557</v>
      </c>
      <c r="E380" s="1" t="s">
        <v>16</v>
      </c>
      <c r="L380" s="1" t="s">
        <v>22</v>
      </c>
    </row>
    <row r="381">
      <c r="A381" s="2">
        <v>46223.499272326386</v>
      </c>
      <c r="B381" s="1" t="s">
        <v>14</v>
      </c>
      <c r="C381" s="1" t="s">
        <v>564</v>
      </c>
      <c r="D381" s="1" t="s">
        <v>564</v>
      </c>
      <c r="E381" s="1" t="s">
        <v>234</v>
      </c>
      <c r="F381" s="3">
        <v>0.9</v>
      </c>
      <c r="G381" s="1" t="s">
        <v>589</v>
      </c>
      <c r="H381" s="1" t="s">
        <v>18</v>
      </c>
      <c r="I381" s="1" t="s">
        <v>590</v>
      </c>
      <c r="J381" s="1" t="s">
        <v>591</v>
      </c>
      <c r="K381" s="3">
        <v>1.0</v>
      </c>
    </row>
    <row r="382">
      <c r="A382" s="2">
        <v>46223.49940586806</v>
      </c>
      <c r="B382" s="1" t="s">
        <v>14</v>
      </c>
      <c r="C382" s="1" t="s">
        <v>571</v>
      </c>
      <c r="D382" s="1" t="s">
        <v>571</v>
      </c>
      <c r="E382" s="1" t="s">
        <v>234</v>
      </c>
      <c r="F382" s="3">
        <v>0.9</v>
      </c>
      <c r="G382" s="1" t="s">
        <v>592</v>
      </c>
      <c r="H382" s="1" t="s">
        <v>18</v>
      </c>
      <c r="I382" s="1" t="s">
        <v>254</v>
      </c>
      <c r="J382" s="1" t="s">
        <v>593</v>
      </c>
      <c r="K382" s="3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</cols>
  <sheetData>
    <row r="1">
      <c r="A1" s="1" t="s">
        <v>594</v>
      </c>
      <c r="B1" s="1" t="s">
        <v>595</v>
      </c>
      <c r="C1" s="4" t="s">
        <v>596</v>
      </c>
    </row>
    <row r="2">
      <c r="A2" s="5" t="str">
        <f t="array" ref="A2:A9">UNIQUE('埋点数据'!E:E)</f>
        <v>intent</v>
      </c>
      <c r="B2" s="5">
        <f>COUNTIF('埋点数据'!E:E,A2)</f>
        <v>1</v>
      </c>
      <c r="C2" s="6">
        <f t="shared" ref="C2:C8" si="1">IF(B2&gt;0,B2/SUM(B:B),0)</f>
        <v>0.002617801047</v>
      </c>
    </row>
    <row r="3">
      <c r="A3" s="5" t="s">
        <v>16</v>
      </c>
      <c r="B3" s="5">
        <f>COUNTIF('埋点数据'!E:E,A3)</f>
        <v>145</v>
      </c>
      <c r="C3" s="6">
        <f t="shared" si="1"/>
        <v>0.3795811518</v>
      </c>
    </row>
    <row r="4">
      <c r="A4" s="5" t="s">
        <v>135</v>
      </c>
      <c r="B4" s="5">
        <f>COUNTIF('埋点数据'!E:E,A4)</f>
        <v>82</v>
      </c>
      <c r="C4" s="6">
        <f t="shared" si="1"/>
        <v>0.2146596859</v>
      </c>
    </row>
    <row r="5">
      <c r="A5" s="5" t="s">
        <v>213</v>
      </c>
      <c r="B5" s="5">
        <f>COUNTIF('埋点数据'!E:E,A5)</f>
        <v>21</v>
      </c>
      <c r="C5" s="6">
        <f t="shared" si="1"/>
        <v>0.05497382199</v>
      </c>
    </row>
    <row r="6">
      <c r="A6" s="5" t="s">
        <v>234</v>
      </c>
      <c r="B6" s="5">
        <f>COUNTIF('埋点数据'!E:E,A6)</f>
        <v>38</v>
      </c>
      <c r="C6" s="6">
        <f t="shared" si="1"/>
        <v>0.09947643979</v>
      </c>
    </row>
    <row r="7">
      <c r="A7" s="5" t="s">
        <v>262</v>
      </c>
      <c r="B7" s="5">
        <f>COUNTIF('埋点数据'!E:E,A7)</f>
        <v>34</v>
      </c>
      <c r="C7" s="6">
        <f t="shared" si="1"/>
        <v>0.0890052356</v>
      </c>
    </row>
    <row r="8">
      <c r="A8" s="5" t="s">
        <v>400</v>
      </c>
      <c r="B8" s="5">
        <f>COUNTIF('埋点数据'!E:E,A8)</f>
        <v>61</v>
      </c>
      <c r="C8" s="6">
        <f t="shared" si="1"/>
        <v>0.1596858639</v>
      </c>
    </row>
    <row r="9">
      <c r="A9" s="5"/>
      <c r="C9" s="6"/>
    </row>
    <row r="10">
      <c r="C10" s="6"/>
    </row>
    <row r="11">
      <c r="C11" s="6"/>
    </row>
    <row r="12">
      <c r="C12" s="6"/>
    </row>
    <row r="13">
      <c r="C13" s="6"/>
    </row>
    <row r="14">
      <c r="C14" s="6"/>
    </row>
    <row r="15">
      <c r="C15" s="6"/>
    </row>
    <row r="16">
      <c r="C16" s="6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tr">
        <f>IFERROR(__xludf.DUMMYFUNCTION("QUERY(ARRAYFORMULA({TEXT('埋点数据'!A2:A1000,""yyyy-mm-dd""),'埋点数据'!B2:B1000}),""select Col1,count(Col1) where Col1 is not null and Col1 &lt;&gt; '1899-12-30' group by Col1 label Col1'日期',count(Col1)'对话数'"",0)"),"日期")</f>
        <v>日期</v>
      </c>
      <c r="B1" s="1" t="str">
        <f>IFERROR(__xludf.DUMMYFUNCTION("""COMPUTED_VALUE"""),"对话数")</f>
        <v>对话数</v>
      </c>
    </row>
    <row r="2">
      <c r="A2" s="7" t="str">
        <f>IFERROR(__xludf.DUMMYFUNCTION("""COMPUTED_VALUE"""),"2026-07-13")</f>
        <v>2026-07-13</v>
      </c>
      <c r="B2" s="5">
        <f>IFERROR(__xludf.DUMMYFUNCTION("""COMPUTED_VALUE"""),3.0)</f>
        <v>3</v>
      </c>
    </row>
    <row r="3">
      <c r="A3" s="7" t="str">
        <f>IFERROR(__xludf.DUMMYFUNCTION("""COMPUTED_VALUE"""),"2026-07-20")</f>
        <v>2026-07-20</v>
      </c>
      <c r="B3" s="5">
        <f>IFERROR(__xludf.DUMMYFUNCTION("""COMPUTED_VALUE"""),378.0)</f>
        <v>378</v>
      </c>
    </row>
    <row r="4">
      <c r="A4" s="7"/>
    </row>
    <row r="5">
      <c r="A5" s="7"/>
    </row>
    <row r="6">
      <c r="A6" s="7"/>
    </row>
    <row r="7">
      <c r="A7" s="7"/>
    </row>
    <row r="8">
      <c r="A8" s="7"/>
    </row>
    <row r="9">
      <c r="A9" s="7"/>
    </row>
    <row r="10">
      <c r="A10" s="7"/>
    </row>
    <row r="11">
      <c r="A11" s="7"/>
    </row>
    <row r="12">
      <c r="A12" s="7"/>
    </row>
    <row r="13">
      <c r="A13" s="7"/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597</v>
      </c>
      <c r="B1" s="5">
        <f>COUNTA('埋点数据'!A:A)-1</f>
        <v>381</v>
      </c>
    </row>
    <row r="2">
      <c r="A2" s="1" t="s">
        <v>598</v>
      </c>
      <c r="B2" s="5">
        <f>COUNTIF('埋点数据'!E:E, "售前咨询")</f>
        <v>145</v>
      </c>
    </row>
    <row r="3">
      <c r="A3" s="1" t="s">
        <v>599</v>
      </c>
      <c r="B3" s="5">
        <f>COUNTIF('埋点数据'!E:E, "退换货")</f>
        <v>38</v>
      </c>
    </row>
    <row r="4">
      <c r="A4" s="1" t="s">
        <v>600</v>
      </c>
      <c r="B4" s="5">
        <f>COUNTIF('埋点数据'!E:E, "投诉")</f>
        <v>34</v>
      </c>
    </row>
    <row r="5">
      <c r="A5" s="1" t="s">
        <v>601</v>
      </c>
      <c r="B5" s="5">
        <f>COUNTIF('埋点数据'!E:E, "投诉")+COUNTIF('埋点数据'!E:E, "其他")</f>
        <v>55</v>
      </c>
    </row>
    <row r="6">
      <c r="A6" s="1" t="s">
        <v>602</v>
      </c>
      <c r="B6" s="5">
        <f>COUNTIFS('埋点数据'!H:H, "&lt;&gt;", '埋点数据'!H:H, "&lt;&gt;无")</f>
        <v>1</v>
      </c>
    </row>
    <row r="7">
      <c r="A7" s="1" t="s">
        <v>603</v>
      </c>
      <c r="B7" s="6">
        <f>IFERROR(COUNTIF('埋点数据'!L:L, "*answer_generate*")/COUNTIF('埋点数据'!L:L, "*knowledge_search*"), 0)</f>
        <v>0.6324786325</v>
      </c>
    </row>
  </sheetData>
  <drawing r:id="rId1"/>
</worksheet>
</file>